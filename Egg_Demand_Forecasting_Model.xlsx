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itl\Documents\coding - ALL\data analytics portfolio\"/>
    </mc:Choice>
  </mc:AlternateContent>
  <xr:revisionPtr revIDLastSave="0" documentId="8_{DE9CA4DE-844E-46D3-982D-53F817EE687D}" xr6:coauthVersionLast="47" xr6:coauthVersionMax="47" xr10:uidLastSave="{00000000-0000-0000-0000-000000000000}"/>
  <bookViews>
    <workbookView xWindow="11424" yWindow="0" windowWidth="11712" windowHeight="12336" tabRatio="500" activeTab="1" xr2:uid="{00000000-000D-0000-FFFF-FFFF00000000}"/>
  </bookViews>
  <sheets>
    <sheet name="Assumptions" sheetId="1" r:id="rId1"/>
    <sheet name="Data &amp; Models" sheetId="2" r:id="rId2"/>
    <sheet name="SL Forecast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3" l="1"/>
  <c r="C5" i="3" s="1"/>
  <c r="C502" i="2"/>
  <c r="D502" i="2" s="1"/>
  <c r="E502" i="2" s="1"/>
  <c r="C501" i="2"/>
  <c r="D501" i="2" s="1"/>
  <c r="E501" i="2" s="1"/>
  <c r="C500" i="2"/>
  <c r="D500" i="2" s="1"/>
  <c r="E500" i="2" s="1"/>
  <c r="C499" i="2"/>
  <c r="D499" i="2" s="1"/>
  <c r="E499" i="2" s="1"/>
  <c r="C498" i="2"/>
  <c r="D498" i="2" s="1"/>
  <c r="E498" i="2" s="1"/>
  <c r="C497" i="2"/>
  <c r="D497" i="2" s="1"/>
  <c r="E497" i="2" s="1"/>
  <c r="C496" i="2"/>
  <c r="D496" i="2" s="1"/>
  <c r="E496" i="2" s="1"/>
  <c r="C495" i="2"/>
  <c r="D495" i="2" s="1"/>
  <c r="E495" i="2" s="1"/>
  <c r="C494" i="2"/>
  <c r="D494" i="2" s="1"/>
  <c r="E494" i="2" s="1"/>
  <c r="C493" i="2"/>
  <c r="D493" i="2" s="1"/>
  <c r="E493" i="2" s="1"/>
  <c r="C492" i="2"/>
  <c r="D492" i="2" s="1"/>
  <c r="E492" i="2" s="1"/>
  <c r="C491" i="2"/>
  <c r="D491" i="2" s="1"/>
  <c r="E491" i="2" s="1"/>
  <c r="C490" i="2"/>
  <c r="D490" i="2" s="1"/>
  <c r="E490" i="2" s="1"/>
  <c r="C489" i="2"/>
  <c r="D489" i="2" s="1"/>
  <c r="E489" i="2" s="1"/>
  <c r="C488" i="2"/>
  <c r="D488" i="2" s="1"/>
  <c r="E488" i="2" s="1"/>
  <c r="C487" i="2"/>
  <c r="D487" i="2" s="1"/>
  <c r="E487" i="2" s="1"/>
  <c r="C486" i="2"/>
  <c r="D486" i="2" s="1"/>
  <c r="E486" i="2" s="1"/>
  <c r="C485" i="2"/>
  <c r="D485" i="2" s="1"/>
  <c r="E485" i="2" s="1"/>
  <c r="C484" i="2"/>
  <c r="D484" i="2" s="1"/>
  <c r="E484" i="2" s="1"/>
  <c r="C483" i="2"/>
  <c r="D483" i="2" s="1"/>
  <c r="E483" i="2" s="1"/>
  <c r="C482" i="2"/>
  <c r="D482" i="2" s="1"/>
  <c r="E482" i="2" s="1"/>
  <c r="C481" i="2"/>
  <c r="D481" i="2" s="1"/>
  <c r="E481" i="2" s="1"/>
  <c r="C480" i="2"/>
  <c r="D480" i="2" s="1"/>
  <c r="E480" i="2" s="1"/>
  <c r="C479" i="2"/>
  <c r="D479" i="2" s="1"/>
  <c r="E479" i="2" s="1"/>
  <c r="C478" i="2"/>
  <c r="D478" i="2" s="1"/>
  <c r="E478" i="2" s="1"/>
  <c r="C477" i="2"/>
  <c r="D477" i="2" s="1"/>
  <c r="E477" i="2" s="1"/>
  <c r="C476" i="2"/>
  <c r="D476" i="2" s="1"/>
  <c r="E476" i="2" s="1"/>
  <c r="C475" i="2"/>
  <c r="D475" i="2" s="1"/>
  <c r="E475" i="2" s="1"/>
  <c r="C474" i="2"/>
  <c r="D474" i="2" s="1"/>
  <c r="E474" i="2" s="1"/>
  <c r="C473" i="2"/>
  <c r="D473" i="2" s="1"/>
  <c r="E473" i="2" s="1"/>
  <c r="C472" i="2"/>
  <c r="D472" i="2" s="1"/>
  <c r="E472" i="2" s="1"/>
  <c r="C471" i="2"/>
  <c r="D471" i="2" s="1"/>
  <c r="E471" i="2" s="1"/>
  <c r="C470" i="2"/>
  <c r="D470" i="2" s="1"/>
  <c r="E470" i="2" s="1"/>
  <c r="C469" i="2"/>
  <c r="D469" i="2" s="1"/>
  <c r="E469" i="2" s="1"/>
  <c r="C468" i="2"/>
  <c r="D468" i="2" s="1"/>
  <c r="E468" i="2" s="1"/>
  <c r="C467" i="2"/>
  <c r="D467" i="2" s="1"/>
  <c r="E467" i="2" s="1"/>
  <c r="C466" i="2"/>
  <c r="D466" i="2" s="1"/>
  <c r="E466" i="2" s="1"/>
  <c r="C465" i="2"/>
  <c r="D465" i="2" s="1"/>
  <c r="E465" i="2" s="1"/>
  <c r="C464" i="2"/>
  <c r="D464" i="2" s="1"/>
  <c r="E464" i="2" s="1"/>
  <c r="C463" i="2"/>
  <c r="D463" i="2" s="1"/>
  <c r="E463" i="2" s="1"/>
  <c r="C462" i="2"/>
  <c r="D462" i="2" s="1"/>
  <c r="E462" i="2" s="1"/>
  <c r="C461" i="2"/>
  <c r="D461" i="2" s="1"/>
  <c r="E461" i="2" s="1"/>
  <c r="C460" i="2"/>
  <c r="D460" i="2" s="1"/>
  <c r="E460" i="2" s="1"/>
  <c r="C459" i="2"/>
  <c r="D459" i="2" s="1"/>
  <c r="E459" i="2" s="1"/>
  <c r="C458" i="2"/>
  <c r="D458" i="2" s="1"/>
  <c r="E458" i="2" s="1"/>
  <c r="C457" i="2"/>
  <c r="D457" i="2" s="1"/>
  <c r="E457" i="2" s="1"/>
  <c r="C456" i="2"/>
  <c r="D456" i="2" s="1"/>
  <c r="E456" i="2" s="1"/>
  <c r="C455" i="2"/>
  <c r="D455" i="2" s="1"/>
  <c r="E455" i="2" s="1"/>
  <c r="C454" i="2"/>
  <c r="D454" i="2" s="1"/>
  <c r="E454" i="2" s="1"/>
  <c r="C453" i="2"/>
  <c r="D453" i="2" s="1"/>
  <c r="E453" i="2" s="1"/>
  <c r="C452" i="2"/>
  <c r="D452" i="2" s="1"/>
  <c r="E452" i="2" s="1"/>
  <c r="C451" i="2"/>
  <c r="D451" i="2" s="1"/>
  <c r="E451" i="2" s="1"/>
  <c r="C450" i="2"/>
  <c r="D450" i="2" s="1"/>
  <c r="E450" i="2" s="1"/>
  <c r="C449" i="2"/>
  <c r="D449" i="2" s="1"/>
  <c r="E449" i="2" s="1"/>
  <c r="C448" i="2"/>
  <c r="D448" i="2" s="1"/>
  <c r="E448" i="2" s="1"/>
  <c r="C447" i="2"/>
  <c r="D447" i="2" s="1"/>
  <c r="E447" i="2" s="1"/>
  <c r="C446" i="2"/>
  <c r="D446" i="2" s="1"/>
  <c r="E446" i="2" s="1"/>
  <c r="C445" i="2"/>
  <c r="D445" i="2" s="1"/>
  <c r="E445" i="2" s="1"/>
  <c r="C444" i="2"/>
  <c r="D444" i="2" s="1"/>
  <c r="E444" i="2" s="1"/>
  <c r="C443" i="2"/>
  <c r="D443" i="2" s="1"/>
  <c r="E443" i="2" s="1"/>
  <c r="C442" i="2"/>
  <c r="D442" i="2" s="1"/>
  <c r="E442" i="2" s="1"/>
  <c r="C441" i="2"/>
  <c r="D441" i="2" s="1"/>
  <c r="E441" i="2" s="1"/>
  <c r="C440" i="2"/>
  <c r="D440" i="2" s="1"/>
  <c r="E440" i="2" s="1"/>
  <c r="C439" i="2"/>
  <c r="D439" i="2" s="1"/>
  <c r="E439" i="2" s="1"/>
  <c r="C438" i="2"/>
  <c r="D438" i="2" s="1"/>
  <c r="E438" i="2" s="1"/>
  <c r="C437" i="2"/>
  <c r="D437" i="2" s="1"/>
  <c r="E437" i="2" s="1"/>
  <c r="C436" i="2"/>
  <c r="D436" i="2" s="1"/>
  <c r="E436" i="2" s="1"/>
  <c r="C435" i="2"/>
  <c r="D435" i="2" s="1"/>
  <c r="E435" i="2" s="1"/>
  <c r="C434" i="2"/>
  <c r="D434" i="2" s="1"/>
  <c r="E434" i="2" s="1"/>
  <c r="C433" i="2"/>
  <c r="D433" i="2" s="1"/>
  <c r="E433" i="2" s="1"/>
  <c r="C432" i="2"/>
  <c r="D432" i="2" s="1"/>
  <c r="E432" i="2" s="1"/>
  <c r="C431" i="2"/>
  <c r="D431" i="2" s="1"/>
  <c r="E431" i="2" s="1"/>
  <c r="C430" i="2"/>
  <c r="D430" i="2" s="1"/>
  <c r="E430" i="2" s="1"/>
  <c r="C429" i="2"/>
  <c r="D429" i="2" s="1"/>
  <c r="E429" i="2" s="1"/>
  <c r="C428" i="2"/>
  <c r="D428" i="2" s="1"/>
  <c r="E428" i="2" s="1"/>
  <c r="C427" i="2"/>
  <c r="D427" i="2" s="1"/>
  <c r="E427" i="2" s="1"/>
  <c r="C426" i="2"/>
  <c r="D426" i="2" s="1"/>
  <c r="E426" i="2" s="1"/>
  <c r="C425" i="2"/>
  <c r="D425" i="2" s="1"/>
  <c r="E425" i="2" s="1"/>
  <c r="C424" i="2"/>
  <c r="D424" i="2" s="1"/>
  <c r="E424" i="2" s="1"/>
  <c r="C423" i="2"/>
  <c r="D423" i="2" s="1"/>
  <c r="E423" i="2" s="1"/>
  <c r="C422" i="2"/>
  <c r="D422" i="2" s="1"/>
  <c r="E422" i="2" s="1"/>
  <c r="C421" i="2"/>
  <c r="D421" i="2" s="1"/>
  <c r="E421" i="2" s="1"/>
  <c r="C420" i="2"/>
  <c r="D420" i="2" s="1"/>
  <c r="E420" i="2" s="1"/>
  <c r="C419" i="2"/>
  <c r="D419" i="2" s="1"/>
  <c r="E419" i="2" s="1"/>
  <c r="C418" i="2"/>
  <c r="D418" i="2" s="1"/>
  <c r="E418" i="2" s="1"/>
  <c r="C417" i="2"/>
  <c r="D417" i="2" s="1"/>
  <c r="E417" i="2" s="1"/>
  <c r="C416" i="2"/>
  <c r="D416" i="2" s="1"/>
  <c r="E416" i="2" s="1"/>
  <c r="C415" i="2"/>
  <c r="D415" i="2" s="1"/>
  <c r="E415" i="2" s="1"/>
  <c r="C414" i="2"/>
  <c r="D414" i="2" s="1"/>
  <c r="E414" i="2" s="1"/>
  <c r="C413" i="2"/>
  <c r="D413" i="2" s="1"/>
  <c r="E413" i="2" s="1"/>
  <c r="C412" i="2"/>
  <c r="D412" i="2" s="1"/>
  <c r="E412" i="2" s="1"/>
  <c r="C411" i="2"/>
  <c r="D411" i="2" s="1"/>
  <c r="E411" i="2" s="1"/>
  <c r="C410" i="2"/>
  <c r="D410" i="2" s="1"/>
  <c r="E410" i="2" s="1"/>
  <c r="C409" i="2"/>
  <c r="D409" i="2" s="1"/>
  <c r="E409" i="2" s="1"/>
  <c r="C408" i="2"/>
  <c r="D408" i="2" s="1"/>
  <c r="E408" i="2" s="1"/>
  <c r="C407" i="2"/>
  <c r="D407" i="2" s="1"/>
  <c r="E407" i="2" s="1"/>
  <c r="C406" i="2"/>
  <c r="D406" i="2" s="1"/>
  <c r="E406" i="2" s="1"/>
  <c r="C405" i="2"/>
  <c r="D405" i="2" s="1"/>
  <c r="E405" i="2" s="1"/>
  <c r="C404" i="2"/>
  <c r="D404" i="2" s="1"/>
  <c r="E404" i="2" s="1"/>
  <c r="C403" i="2"/>
  <c r="D403" i="2" s="1"/>
  <c r="E403" i="2" s="1"/>
  <c r="C402" i="2"/>
  <c r="D402" i="2" s="1"/>
  <c r="E402" i="2" s="1"/>
  <c r="C401" i="2"/>
  <c r="D401" i="2" s="1"/>
  <c r="E401" i="2" s="1"/>
  <c r="C400" i="2"/>
  <c r="D400" i="2" s="1"/>
  <c r="E400" i="2" s="1"/>
  <c r="C399" i="2"/>
  <c r="D399" i="2" s="1"/>
  <c r="E399" i="2" s="1"/>
  <c r="C398" i="2"/>
  <c r="D398" i="2" s="1"/>
  <c r="E398" i="2" s="1"/>
  <c r="C397" i="2"/>
  <c r="D397" i="2" s="1"/>
  <c r="E397" i="2" s="1"/>
  <c r="C396" i="2"/>
  <c r="D396" i="2" s="1"/>
  <c r="E396" i="2" s="1"/>
  <c r="C395" i="2"/>
  <c r="D395" i="2" s="1"/>
  <c r="E395" i="2" s="1"/>
  <c r="C394" i="2"/>
  <c r="D394" i="2" s="1"/>
  <c r="E394" i="2" s="1"/>
  <c r="C393" i="2"/>
  <c r="D393" i="2" s="1"/>
  <c r="E393" i="2" s="1"/>
  <c r="C392" i="2"/>
  <c r="D392" i="2" s="1"/>
  <c r="E392" i="2" s="1"/>
  <c r="C391" i="2"/>
  <c r="D391" i="2" s="1"/>
  <c r="E391" i="2" s="1"/>
  <c r="C390" i="2"/>
  <c r="D390" i="2" s="1"/>
  <c r="E390" i="2" s="1"/>
  <c r="C389" i="2"/>
  <c r="D389" i="2" s="1"/>
  <c r="E389" i="2" s="1"/>
  <c r="C388" i="2"/>
  <c r="D388" i="2" s="1"/>
  <c r="E388" i="2" s="1"/>
  <c r="C387" i="2"/>
  <c r="D387" i="2" s="1"/>
  <c r="E387" i="2" s="1"/>
  <c r="C386" i="2"/>
  <c r="D386" i="2" s="1"/>
  <c r="E386" i="2" s="1"/>
  <c r="C385" i="2"/>
  <c r="D385" i="2" s="1"/>
  <c r="E385" i="2" s="1"/>
  <c r="C384" i="2"/>
  <c r="D384" i="2" s="1"/>
  <c r="E384" i="2" s="1"/>
  <c r="C383" i="2"/>
  <c r="D383" i="2" s="1"/>
  <c r="E383" i="2" s="1"/>
  <c r="C382" i="2"/>
  <c r="D382" i="2" s="1"/>
  <c r="E382" i="2" s="1"/>
  <c r="C381" i="2"/>
  <c r="D381" i="2" s="1"/>
  <c r="E381" i="2" s="1"/>
  <c r="C380" i="2"/>
  <c r="D380" i="2" s="1"/>
  <c r="E380" i="2" s="1"/>
  <c r="C379" i="2"/>
  <c r="D379" i="2" s="1"/>
  <c r="E379" i="2" s="1"/>
  <c r="C378" i="2"/>
  <c r="D378" i="2" s="1"/>
  <c r="E378" i="2" s="1"/>
  <c r="C377" i="2"/>
  <c r="D377" i="2" s="1"/>
  <c r="E377" i="2" s="1"/>
  <c r="C376" i="2"/>
  <c r="D376" i="2" s="1"/>
  <c r="E376" i="2" s="1"/>
  <c r="C375" i="2"/>
  <c r="D375" i="2" s="1"/>
  <c r="E375" i="2" s="1"/>
  <c r="C374" i="2"/>
  <c r="D374" i="2" s="1"/>
  <c r="E374" i="2" s="1"/>
  <c r="C373" i="2"/>
  <c r="D373" i="2" s="1"/>
  <c r="E373" i="2" s="1"/>
  <c r="C372" i="2"/>
  <c r="D372" i="2" s="1"/>
  <c r="E372" i="2" s="1"/>
  <c r="C371" i="2"/>
  <c r="D371" i="2" s="1"/>
  <c r="E371" i="2" s="1"/>
  <c r="C370" i="2"/>
  <c r="D370" i="2" s="1"/>
  <c r="E370" i="2" s="1"/>
  <c r="C369" i="2"/>
  <c r="D369" i="2" s="1"/>
  <c r="E369" i="2" s="1"/>
  <c r="C368" i="2"/>
  <c r="D368" i="2" s="1"/>
  <c r="E368" i="2" s="1"/>
  <c r="C367" i="2"/>
  <c r="D367" i="2" s="1"/>
  <c r="E367" i="2" s="1"/>
  <c r="C366" i="2"/>
  <c r="D366" i="2" s="1"/>
  <c r="E366" i="2" s="1"/>
  <c r="C365" i="2"/>
  <c r="D365" i="2" s="1"/>
  <c r="E365" i="2" s="1"/>
  <c r="C364" i="2"/>
  <c r="D364" i="2" s="1"/>
  <c r="E364" i="2" s="1"/>
  <c r="C363" i="2"/>
  <c r="D363" i="2" s="1"/>
  <c r="E363" i="2" s="1"/>
  <c r="C362" i="2"/>
  <c r="D362" i="2" s="1"/>
  <c r="E362" i="2" s="1"/>
  <c r="C361" i="2"/>
  <c r="D361" i="2" s="1"/>
  <c r="E361" i="2" s="1"/>
  <c r="C360" i="2"/>
  <c r="D360" i="2" s="1"/>
  <c r="E360" i="2" s="1"/>
  <c r="C359" i="2"/>
  <c r="D359" i="2" s="1"/>
  <c r="E359" i="2" s="1"/>
  <c r="C358" i="2"/>
  <c r="D358" i="2" s="1"/>
  <c r="E358" i="2" s="1"/>
  <c r="C357" i="2"/>
  <c r="D357" i="2" s="1"/>
  <c r="E357" i="2" s="1"/>
  <c r="C356" i="2"/>
  <c r="D356" i="2" s="1"/>
  <c r="E356" i="2" s="1"/>
  <c r="C355" i="2"/>
  <c r="D355" i="2" s="1"/>
  <c r="E355" i="2" s="1"/>
  <c r="C354" i="2"/>
  <c r="D354" i="2" s="1"/>
  <c r="E354" i="2" s="1"/>
  <c r="C353" i="2"/>
  <c r="D353" i="2" s="1"/>
  <c r="E353" i="2" s="1"/>
  <c r="C352" i="2"/>
  <c r="D352" i="2" s="1"/>
  <c r="E352" i="2" s="1"/>
  <c r="C351" i="2"/>
  <c r="D351" i="2" s="1"/>
  <c r="E351" i="2" s="1"/>
  <c r="C350" i="2"/>
  <c r="D350" i="2" s="1"/>
  <c r="E350" i="2" s="1"/>
  <c r="C349" i="2"/>
  <c r="D349" i="2" s="1"/>
  <c r="E349" i="2" s="1"/>
  <c r="C348" i="2"/>
  <c r="D348" i="2" s="1"/>
  <c r="E348" i="2" s="1"/>
  <c r="C347" i="2"/>
  <c r="D347" i="2" s="1"/>
  <c r="E347" i="2" s="1"/>
  <c r="C346" i="2"/>
  <c r="D346" i="2" s="1"/>
  <c r="E346" i="2" s="1"/>
  <c r="C345" i="2"/>
  <c r="D345" i="2" s="1"/>
  <c r="E345" i="2" s="1"/>
  <c r="C344" i="2"/>
  <c r="D344" i="2" s="1"/>
  <c r="E344" i="2" s="1"/>
  <c r="C343" i="2"/>
  <c r="D343" i="2" s="1"/>
  <c r="E343" i="2" s="1"/>
  <c r="C342" i="2"/>
  <c r="D342" i="2" s="1"/>
  <c r="E342" i="2" s="1"/>
  <c r="C341" i="2"/>
  <c r="D341" i="2" s="1"/>
  <c r="E341" i="2" s="1"/>
  <c r="C340" i="2"/>
  <c r="D340" i="2" s="1"/>
  <c r="E340" i="2" s="1"/>
  <c r="C339" i="2"/>
  <c r="D339" i="2" s="1"/>
  <c r="E339" i="2" s="1"/>
  <c r="C338" i="2"/>
  <c r="D338" i="2" s="1"/>
  <c r="E338" i="2" s="1"/>
  <c r="C337" i="2"/>
  <c r="D337" i="2" s="1"/>
  <c r="E337" i="2" s="1"/>
  <c r="C336" i="2"/>
  <c r="D336" i="2" s="1"/>
  <c r="E336" i="2" s="1"/>
  <c r="C335" i="2"/>
  <c r="D335" i="2" s="1"/>
  <c r="E335" i="2" s="1"/>
  <c r="C334" i="2"/>
  <c r="D334" i="2" s="1"/>
  <c r="E334" i="2" s="1"/>
  <c r="C333" i="2"/>
  <c r="D333" i="2" s="1"/>
  <c r="E333" i="2" s="1"/>
  <c r="C332" i="2"/>
  <c r="D332" i="2" s="1"/>
  <c r="E332" i="2" s="1"/>
  <c r="C331" i="2"/>
  <c r="D331" i="2" s="1"/>
  <c r="E331" i="2" s="1"/>
  <c r="C330" i="2"/>
  <c r="D330" i="2" s="1"/>
  <c r="E330" i="2" s="1"/>
  <c r="E329" i="2"/>
  <c r="C329" i="2"/>
  <c r="D329" i="2" s="1"/>
  <c r="E328" i="2"/>
  <c r="C328" i="2"/>
  <c r="D328" i="2" s="1"/>
  <c r="C327" i="2"/>
  <c r="D327" i="2" s="1"/>
  <c r="E327" i="2" s="1"/>
  <c r="C326" i="2"/>
  <c r="D326" i="2" s="1"/>
  <c r="E326" i="2" s="1"/>
  <c r="E325" i="2"/>
  <c r="C325" i="2"/>
  <c r="D325" i="2" s="1"/>
  <c r="E324" i="2"/>
  <c r="C324" i="2"/>
  <c r="D324" i="2" s="1"/>
  <c r="C323" i="2"/>
  <c r="D323" i="2" s="1"/>
  <c r="E323" i="2" s="1"/>
  <c r="C322" i="2"/>
  <c r="D322" i="2" s="1"/>
  <c r="E322" i="2" s="1"/>
  <c r="E321" i="2"/>
  <c r="C321" i="2"/>
  <c r="D321" i="2" s="1"/>
  <c r="E320" i="2"/>
  <c r="C320" i="2"/>
  <c r="D320" i="2" s="1"/>
  <c r="C319" i="2"/>
  <c r="D319" i="2" s="1"/>
  <c r="E319" i="2" s="1"/>
  <c r="C318" i="2"/>
  <c r="D318" i="2" s="1"/>
  <c r="E318" i="2" s="1"/>
  <c r="E317" i="2"/>
  <c r="C317" i="2"/>
  <c r="D317" i="2" s="1"/>
  <c r="E316" i="2"/>
  <c r="C316" i="2"/>
  <c r="D316" i="2" s="1"/>
  <c r="C315" i="2"/>
  <c r="D315" i="2" s="1"/>
  <c r="E315" i="2" s="1"/>
  <c r="C314" i="2"/>
  <c r="D314" i="2" s="1"/>
  <c r="E314" i="2" s="1"/>
  <c r="E313" i="2"/>
  <c r="C313" i="2"/>
  <c r="D313" i="2" s="1"/>
  <c r="E312" i="2"/>
  <c r="C312" i="2"/>
  <c r="D312" i="2" s="1"/>
  <c r="C311" i="2"/>
  <c r="D311" i="2" s="1"/>
  <c r="E311" i="2" s="1"/>
  <c r="C310" i="2"/>
  <c r="D310" i="2" s="1"/>
  <c r="E310" i="2" s="1"/>
  <c r="E309" i="2"/>
  <c r="C309" i="2"/>
  <c r="D309" i="2" s="1"/>
  <c r="E308" i="2"/>
  <c r="C308" i="2"/>
  <c r="D308" i="2" s="1"/>
  <c r="C307" i="2"/>
  <c r="D307" i="2" s="1"/>
  <c r="E307" i="2" s="1"/>
  <c r="E306" i="2"/>
  <c r="C306" i="2"/>
  <c r="D306" i="2" s="1"/>
  <c r="E305" i="2"/>
  <c r="C305" i="2"/>
  <c r="D305" i="2" s="1"/>
  <c r="C304" i="2"/>
  <c r="D304" i="2" s="1"/>
  <c r="E304" i="2" s="1"/>
  <c r="D303" i="2"/>
  <c r="E303" i="2" s="1"/>
  <c r="C303" i="2"/>
  <c r="C302" i="2"/>
  <c r="D302" i="2" s="1"/>
  <c r="E302" i="2" s="1"/>
  <c r="D301" i="2"/>
  <c r="E301" i="2" s="1"/>
  <c r="C301" i="2"/>
  <c r="C300" i="2"/>
  <c r="D300" i="2" s="1"/>
  <c r="E300" i="2" s="1"/>
  <c r="D299" i="2"/>
  <c r="E299" i="2" s="1"/>
  <c r="C299" i="2"/>
  <c r="C298" i="2"/>
  <c r="D298" i="2" s="1"/>
  <c r="E298" i="2" s="1"/>
  <c r="D297" i="2"/>
  <c r="E297" i="2" s="1"/>
  <c r="C297" i="2"/>
  <c r="C296" i="2"/>
  <c r="D296" i="2" s="1"/>
  <c r="E296" i="2" s="1"/>
  <c r="D295" i="2"/>
  <c r="E295" i="2" s="1"/>
  <c r="C295" i="2"/>
  <c r="E294" i="2"/>
  <c r="D294" i="2"/>
  <c r="C294" i="2"/>
  <c r="D293" i="2"/>
  <c r="E293" i="2" s="1"/>
  <c r="C293" i="2"/>
  <c r="C292" i="2"/>
  <c r="D292" i="2" s="1"/>
  <c r="E292" i="2" s="1"/>
  <c r="D291" i="2"/>
  <c r="E291" i="2" s="1"/>
  <c r="C291" i="2"/>
  <c r="C290" i="2"/>
  <c r="D290" i="2" s="1"/>
  <c r="E290" i="2" s="1"/>
  <c r="E289" i="2"/>
  <c r="D289" i="2"/>
  <c r="C289" i="2"/>
  <c r="C288" i="2"/>
  <c r="D288" i="2" s="1"/>
  <c r="E288" i="2" s="1"/>
  <c r="D287" i="2"/>
  <c r="E287" i="2" s="1"/>
  <c r="C287" i="2"/>
  <c r="C286" i="2"/>
  <c r="D286" i="2" s="1"/>
  <c r="E286" i="2" s="1"/>
  <c r="D285" i="2"/>
  <c r="E285" i="2" s="1"/>
  <c r="C285" i="2"/>
  <c r="C284" i="2"/>
  <c r="D284" i="2" s="1"/>
  <c r="E284" i="2" s="1"/>
  <c r="D283" i="2"/>
  <c r="E283" i="2" s="1"/>
  <c r="C283" i="2"/>
  <c r="E282" i="2"/>
  <c r="D282" i="2"/>
  <c r="C282" i="2"/>
  <c r="D281" i="2"/>
  <c r="E281" i="2" s="1"/>
  <c r="C281" i="2"/>
  <c r="C280" i="2"/>
  <c r="D280" i="2" s="1"/>
  <c r="E280" i="2" s="1"/>
  <c r="D279" i="2"/>
  <c r="E279" i="2" s="1"/>
  <c r="C279" i="2"/>
  <c r="C278" i="2"/>
  <c r="D278" i="2" s="1"/>
  <c r="E278" i="2" s="1"/>
  <c r="E277" i="2"/>
  <c r="D277" i="2"/>
  <c r="C277" i="2"/>
  <c r="C276" i="2"/>
  <c r="D276" i="2" s="1"/>
  <c r="E276" i="2" s="1"/>
  <c r="C275" i="2"/>
  <c r="D275" i="2" s="1"/>
  <c r="E275" i="2" s="1"/>
  <c r="C274" i="2"/>
  <c r="D274" i="2" s="1"/>
  <c r="E274" i="2" s="1"/>
  <c r="D273" i="2"/>
  <c r="E273" i="2" s="1"/>
  <c r="C273" i="2"/>
  <c r="C272" i="2"/>
  <c r="D272" i="2" s="1"/>
  <c r="E272" i="2" s="1"/>
  <c r="D271" i="2"/>
  <c r="E271" i="2" s="1"/>
  <c r="C271" i="2"/>
  <c r="D270" i="2"/>
  <c r="E270" i="2" s="1"/>
  <c r="C270" i="2"/>
  <c r="D269" i="2"/>
  <c r="E269" i="2" s="1"/>
  <c r="C269" i="2"/>
  <c r="C268" i="2"/>
  <c r="D268" i="2" s="1"/>
  <c r="E268" i="2" s="1"/>
  <c r="D267" i="2"/>
  <c r="E267" i="2" s="1"/>
  <c r="C267" i="2"/>
  <c r="C266" i="2"/>
  <c r="D266" i="2" s="1"/>
  <c r="E266" i="2" s="1"/>
  <c r="E265" i="2"/>
  <c r="D265" i="2"/>
  <c r="C265" i="2"/>
  <c r="C264" i="2"/>
  <c r="D264" i="2" s="1"/>
  <c r="E264" i="2" s="1"/>
  <c r="C263" i="2"/>
  <c r="D263" i="2" s="1"/>
  <c r="E263" i="2" s="1"/>
  <c r="D262" i="2"/>
  <c r="E262" i="2" s="1"/>
  <c r="C262" i="2"/>
  <c r="C261" i="2"/>
  <c r="D261" i="2" s="1"/>
  <c r="E261" i="2" s="1"/>
  <c r="D260" i="2"/>
  <c r="E260" i="2" s="1"/>
  <c r="C260" i="2"/>
  <c r="C259" i="2"/>
  <c r="D259" i="2" s="1"/>
  <c r="E259" i="2" s="1"/>
  <c r="D258" i="2"/>
  <c r="E258" i="2" s="1"/>
  <c r="C258" i="2"/>
  <c r="C257" i="2"/>
  <c r="D257" i="2" s="1"/>
  <c r="E257" i="2" s="1"/>
  <c r="D256" i="2"/>
  <c r="E256" i="2" s="1"/>
  <c r="C256" i="2"/>
  <c r="C255" i="2"/>
  <c r="D255" i="2" s="1"/>
  <c r="E255" i="2" s="1"/>
  <c r="D254" i="2"/>
  <c r="E254" i="2" s="1"/>
  <c r="C254" i="2"/>
  <c r="C253" i="2"/>
  <c r="D253" i="2" s="1"/>
  <c r="E253" i="2" s="1"/>
  <c r="D252" i="2"/>
  <c r="E252" i="2" s="1"/>
  <c r="C252" i="2"/>
  <c r="C251" i="2"/>
  <c r="D251" i="2" s="1"/>
  <c r="E251" i="2" s="1"/>
  <c r="D250" i="2"/>
  <c r="E250" i="2" s="1"/>
  <c r="C250" i="2"/>
  <c r="C249" i="2"/>
  <c r="D249" i="2" s="1"/>
  <c r="E249" i="2" s="1"/>
  <c r="D248" i="2"/>
  <c r="E248" i="2" s="1"/>
  <c r="C248" i="2"/>
  <c r="C247" i="2"/>
  <c r="D247" i="2" s="1"/>
  <c r="E247" i="2" s="1"/>
  <c r="D246" i="2"/>
  <c r="E246" i="2" s="1"/>
  <c r="C246" i="2"/>
  <c r="C245" i="2"/>
  <c r="D245" i="2" s="1"/>
  <c r="E245" i="2" s="1"/>
  <c r="D244" i="2"/>
  <c r="E244" i="2" s="1"/>
  <c r="C244" i="2"/>
  <c r="C243" i="2"/>
  <c r="D243" i="2" s="1"/>
  <c r="E243" i="2" s="1"/>
  <c r="D242" i="2"/>
  <c r="E242" i="2" s="1"/>
  <c r="C242" i="2"/>
  <c r="C241" i="2"/>
  <c r="D241" i="2" s="1"/>
  <c r="E241" i="2" s="1"/>
  <c r="D240" i="2"/>
  <c r="E240" i="2" s="1"/>
  <c r="C240" i="2"/>
  <c r="C239" i="2"/>
  <c r="D239" i="2" s="1"/>
  <c r="E239" i="2" s="1"/>
  <c r="D238" i="2"/>
  <c r="E238" i="2" s="1"/>
  <c r="C238" i="2"/>
  <c r="C237" i="2"/>
  <c r="D237" i="2" s="1"/>
  <c r="E237" i="2" s="1"/>
  <c r="D236" i="2"/>
  <c r="E236" i="2" s="1"/>
  <c r="C236" i="2"/>
  <c r="C235" i="2"/>
  <c r="D235" i="2" s="1"/>
  <c r="E235" i="2" s="1"/>
  <c r="D234" i="2"/>
  <c r="E234" i="2" s="1"/>
  <c r="C234" i="2"/>
  <c r="C233" i="2"/>
  <c r="D233" i="2" s="1"/>
  <c r="E233" i="2" s="1"/>
  <c r="D232" i="2"/>
  <c r="E232" i="2" s="1"/>
  <c r="C232" i="2"/>
  <c r="C231" i="2"/>
  <c r="D231" i="2" s="1"/>
  <c r="E231" i="2" s="1"/>
  <c r="D230" i="2"/>
  <c r="E230" i="2" s="1"/>
  <c r="C230" i="2"/>
  <c r="C229" i="2"/>
  <c r="D229" i="2" s="1"/>
  <c r="E229" i="2" s="1"/>
  <c r="D228" i="2"/>
  <c r="E228" i="2" s="1"/>
  <c r="C228" i="2"/>
  <c r="C227" i="2"/>
  <c r="D227" i="2" s="1"/>
  <c r="E227" i="2" s="1"/>
  <c r="D226" i="2"/>
  <c r="E226" i="2" s="1"/>
  <c r="C226" i="2"/>
  <c r="C225" i="2"/>
  <c r="D225" i="2" s="1"/>
  <c r="E225" i="2" s="1"/>
  <c r="D224" i="2"/>
  <c r="E224" i="2" s="1"/>
  <c r="C224" i="2"/>
  <c r="C223" i="2"/>
  <c r="D223" i="2" s="1"/>
  <c r="E223" i="2" s="1"/>
  <c r="D222" i="2"/>
  <c r="E222" i="2" s="1"/>
  <c r="C222" i="2"/>
  <c r="C221" i="2"/>
  <c r="D221" i="2" s="1"/>
  <c r="E221" i="2" s="1"/>
  <c r="D220" i="2"/>
  <c r="E220" i="2" s="1"/>
  <c r="C220" i="2"/>
  <c r="C219" i="2"/>
  <c r="D219" i="2" s="1"/>
  <c r="E219" i="2" s="1"/>
  <c r="D218" i="2"/>
  <c r="E218" i="2" s="1"/>
  <c r="C218" i="2"/>
  <c r="C217" i="2"/>
  <c r="D217" i="2" s="1"/>
  <c r="E217" i="2" s="1"/>
  <c r="D216" i="2"/>
  <c r="E216" i="2" s="1"/>
  <c r="C216" i="2"/>
  <c r="C215" i="2"/>
  <c r="D215" i="2" s="1"/>
  <c r="E215" i="2" s="1"/>
  <c r="D214" i="2"/>
  <c r="E214" i="2" s="1"/>
  <c r="C214" i="2"/>
  <c r="C213" i="2"/>
  <c r="D213" i="2" s="1"/>
  <c r="E213" i="2" s="1"/>
  <c r="D212" i="2"/>
  <c r="E212" i="2" s="1"/>
  <c r="C212" i="2"/>
  <c r="C211" i="2"/>
  <c r="D211" i="2" s="1"/>
  <c r="E211" i="2" s="1"/>
  <c r="D210" i="2"/>
  <c r="E210" i="2" s="1"/>
  <c r="C210" i="2"/>
  <c r="C209" i="2"/>
  <c r="D209" i="2" s="1"/>
  <c r="E209" i="2" s="1"/>
  <c r="D208" i="2"/>
  <c r="E208" i="2" s="1"/>
  <c r="C208" i="2"/>
  <c r="C207" i="2"/>
  <c r="D207" i="2" s="1"/>
  <c r="E207" i="2" s="1"/>
  <c r="D206" i="2"/>
  <c r="E206" i="2" s="1"/>
  <c r="C206" i="2"/>
  <c r="C205" i="2"/>
  <c r="D205" i="2" s="1"/>
  <c r="E205" i="2" s="1"/>
  <c r="D204" i="2"/>
  <c r="E204" i="2" s="1"/>
  <c r="C204" i="2"/>
  <c r="C203" i="2"/>
  <c r="D203" i="2" s="1"/>
  <c r="E203" i="2" s="1"/>
  <c r="D202" i="2"/>
  <c r="E202" i="2" s="1"/>
  <c r="C202" i="2"/>
  <c r="C201" i="2"/>
  <c r="D201" i="2" s="1"/>
  <c r="E201" i="2" s="1"/>
  <c r="D200" i="2"/>
  <c r="E200" i="2" s="1"/>
  <c r="C200" i="2"/>
  <c r="C199" i="2"/>
  <c r="D199" i="2" s="1"/>
  <c r="E199" i="2" s="1"/>
  <c r="D198" i="2"/>
  <c r="E198" i="2" s="1"/>
  <c r="C198" i="2"/>
  <c r="C197" i="2"/>
  <c r="D197" i="2" s="1"/>
  <c r="E197" i="2" s="1"/>
  <c r="D196" i="2"/>
  <c r="E196" i="2" s="1"/>
  <c r="C196" i="2"/>
  <c r="C195" i="2"/>
  <c r="D195" i="2" s="1"/>
  <c r="E195" i="2" s="1"/>
  <c r="D194" i="2"/>
  <c r="E194" i="2" s="1"/>
  <c r="C194" i="2"/>
  <c r="C193" i="2"/>
  <c r="D193" i="2" s="1"/>
  <c r="E193" i="2" s="1"/>
  <c r="D192" i="2"/>
  <c r="E192" i="2" s="1"/>
  <c r="C192" i="2"/>
  <c r="C191" i="2"/>
  <c r="D191" i="2" s="1"/>
  <c r="E191" i="2" s="1"/>
  <c r="D190" i="2"/>
  <c r="E190" i="2" s="1"/>
  <c r="C190" i="2"/>
  <c r="C189" i="2"/>
  <c r="D189" i="2" s="1"/>
  <c r="E189" i="2" s="1"/>
  <c r="D188" i="2"/>
  <c r="E188" i="2" s="1"/>
  <c r="C188" i="2"/>
  <c r="C187" i="2"/>
  <c r="D187" i="2" s="1"/>
  <c r="E187" i="2" s="1"/>
  <c r="D186" i="2"/>
  <c r="E186" i="2" s="1"/>
  <c r="C186" i="2"/>
  <c r="C185" i="2"/>
  <c r="D185" i="2" s="1"/>
  <c r="E185" i="2" s="1"/>
  <c r="D184" i="2"/>
  <c r="E184" i="2" s="1"/>
  <c r="C184" i="2"/>
  <c r="C183" i="2"/>
  <c r="D183" i="2" s="1"/>
  <c r="E183" i="2" s="1"/>
  <c r="D182" i="2"/>
  <c r="E182" i="2" s="1"/>
  <c r="C182" i="2"/>
  <c r="C181" i="2"/>
  <c r="D181" i="2" s="1"/>
  <c r="E181" i="2" s="1"/>
  <c r="D180" i="2"/>
  <c r="E180" i="2" s="1"/>
  <c r="C180" i="2"/>
  <c r="C179" i="2"/>
  <c r="D179" i="2" s="1"/>
  <c r="E179" i="2" s="1"/>
  <c r="D178" i="2"/>
  <c r="E178" i="2" s="1"/>
  <c r="C178" i="2"/>
  <c r="C177" i="2"/>
  <c r="D177" i="2" s="1"/>
  <c r="E177" i="2" s="1"/>
  <c r="D176" i="2"/>
  <c r="E176" i="2" s="1"/>
  <c r="C176" i="2"/>
  <c r="C175" i="2"/>
  <c r="D175" i="2" s="1"/>
  <c r="E175" i="2" s="1"/>
  <c r="D174" i="2"/>
  <c r="E174" i="2" s="1"/>
  <c r="C174" i="2"/>
  <c r="C173" i="2"/>
  <c r="D173" i="2" s="1"/>
  <c r="E173" i="2" s="1"/>
  <c r="D172" i="2"/>
  <c r="E172" i="2" s="1"/>
  <c r="C172" i="2"/>
  <c r="C171" i="2"/>
  <c r="D171" i="2" s="1"/>
  <c r="E171" i="2" s="1"/>
  <c r="D170" i="2"/>
  <c r="E170" i="2" s="1"/>
  <c r="C170" i="2"/>
  <c r="C169" i="2"/>
  <c r="D169" i="2" s="1"/>
  <c r="E169" i="2" s="1"/>
  <c r="D168" i="2"/>
  <c r="E168" i="2" s="1"/>
  <c r="C168" i="2"/>
  <c r="C167" i="2"/>
  <c r="D167" i="2" s="1"/>
  <c r="E167" i="2" s="1"/>
  <c r="D166" i="2"/>
  <c r="E166" i="2" s="1"/>
  <c r="C166" i="2"/>
  <c r="C165" i="2"/>
  <c r="D165" i="2" s="1"/>
  <c r="E165" i="2" s="1"/>
  <c r="D164" i="2"/>
  <c r="E164" i="2" s="1"/>
  <c r="C164" i="2"/>
  <c r="C163" i="2"/>
  <c r="D163" i="2" s="1"/>
  <c r="E163" i="2" s="1"/>
  <c r="D162" i="2"/>
  <c r="E162" i="2" s="1"/>
  <c r="C162" i="2"/>
  <c r="C161" i="2"/>
  <c r="D161" i="2" s="1"/>
  <c r="E161" i="2" s="1"/>
  <c r="D160" i="2"/>
  <c r="E160" i="2" s="1"/>
  <c r="C160" i="2"/>
  <c r="C159" i="2"/>
  <c r="D159" i="2" s="1"/>
  <c r="E159" i="2" s="1"/>
  <c r="D158" i="2"/>
  <c r="E158" i="2" s="1"/>
  <c r="C158" i="2"/>
  <c r="C157" i="2"/>
  <c r="D157" i="2" s="1"/>
  <c r="E157" i="2" s="1"/>
  <c r="D156" i="2"/>
  <c r="E156" i="2" s="1"/>
  <c r="C156" i="2"/>
  <c r="C155" i="2"/>
  <c r="D155" i="2" s="1"/>
  <c r="E155" i="2" s="1"/>
  <c r="D154" i="2"/>
  <c r="E154" i="2" s="1"/>
  <c r="C154" i="2"/>
  <c r="C153" i="2"/>
  <c r="D153" i="2" s="1"/>
  <c r="E153" i="2" s="1"/>
  <c r="D152" i="2"/>
  <c r="E152" i="2" s="1"/>
  <c r="C152" i="2"/>
  <c r="C151" i="2"/>
  <c r="D151" i="2" s="1"/>
  <c r="E151" i="2" s="1"/>
  <c r="D150" i="2"/>
  <c r="E150" i="2" s="1"/>
  <c r="C150" i="2"/>
  <c r="C149" i="2"/>
  <c r="D149" i="2" s="1"/>
  <c r="E149" i="2" s="1"/>
  <c r="D148" i="2"/>
  <c r="E148" i="2" s="1"/>
  <c r="C148" i="2"/>
  <c r="C147" i="2"/>
  <c r="D147" i="2" s="1"/>
  <c r="E147" i="2" s="1"/>
  <c r="D146" i="2"/>
  <c r="E146" i="2" s="1"/>
  <c r="C146" i="2"/>
  <c r="C145" i="2"/>
  <c r="D145" i="2" s="1"/>
  <c r="E145" i="2" s="1"/>
  <c r="D144" i="2"/>
  <c r="E144" i="2" s="1"/>
  <c r="C144" i="2"/>
  <c r="C143" i="2"/>
  <c r="D143" i="2" s="1"/>
  <c r="E143" i="2" s="1"/>
  <c r="D142" i="2"/>
  <c r="E142" i="2" s="1"/>
  <c r="C142" i="2"/>
  <c r="C141" i="2"/>
  <c r="D141" i="2" s="1"/>
  <c r="E141" i="2" s="1"/>
  <c r="D140" i="2"/>
  <c r="E140" i="2" s="1"/>
  <c r="C140" i="2"/>
  <c r="C139" i="2"/>
  <c r="D139" i="2" s="1"/>
  <c r="E139" i="2" s="1"/>
  <c r="D138" i="2"/>
  <c r="E138" i="2" s="1"/>
  <c r="C138" i="2"/>
  <c r="C137" i="2"/>
  <c r="D137" i="2" s="1"/>
  <c r="E137" i="2" s="1"/>
  <c r="D136" i="2"/>
  <c r="E136" i="2" s="1"/>
  <c r="C136" i="2"/>
  <c r="C135" i="2"/>
  <c r="D135" i="2" s="1"/>
  <c r="E135" i="2" s="1"/>
  <c r="D134" i="2"/>
  <c r="E134" i="2" s="1"/>
  <c r="C134" i="2"/>
  <c r="C133" i="2"/>
  <c r="D133" i="2" s="1"/>
  <c r="E133" i="2" s="1"/>
  <c r="D132" i="2"/>
  <c r="E132" i="2" s="1"/>
  <c r="C132" i="2"/>
  <c r="C131" i="2"/>
  <c r="D131" i="2" s="1"/>
  <c r="E131" i="2" s="1"/>
  <c r="D130" i="2"/>
  <c r="E130" i="2" s="1"/>
  <c r="C130" i="2"/>
  <c r="C129" i="2"/>
  <c r="D129" i="2" s="1"/>
  <c r="E129" i="2" s="1"/>
  <c r="D128" i="2"/>
  <c r="E128" i="2" s="1"/>
  <c r="C128" i="2"/>
  <c r="C127" i="2"/>
  <c r="D127" i="2" s="1"/>
  <c r="E127" i="2" s="1"/>
  <c r="D126" i="2"/>
  <c r="E126" i="2" s="1"/>
  <c r="C126" i="2"/>
  <c r="C125" i="2"/>
  <c r="D125" i="2" s="1"/>
  <c r="E125" i="2" s="1"/>
  <c r="D124" i="2"/>
  <c r="E124" i="2" s="1"/>
  <c r="C124" i="2"/>
  <c r="C123" i="2"/>
  <c r="D123" i="2" s="1"/>
  <c r="E123" i="2" s="1"/>
  <c r="D122" i="2"/>
  <c r="E122" i="2" s="1"/>
  <c r="C122" i="2"/>
  <c r="C121" i="2"/>
  <c r="D121" i="2" s="1"/>
  <c r="E121" i="2" s="1"/>
  <c r="D120" i="2"/>
  <c r="E120" i="2" s="1"/>
  <c r="C120" i="2"/>
  <c r="C119" i="2"/>
  <c r="D119" i="2" s="1"/>
  <c r="E119" i="2" s="1"/>
  <c r="D118" i="2"/>
  <c r="E118" i="2" s="1"/>
  <c r="C118" i="2"/>
  <c r="C117" i="2"/>
  <c r="D117" i="2" s="1"/>
  <c r="E117" i="2" s="1"/>
  <c r="D116" i="2"/>
  <c r="E116" i="2" s="1"/>
  <c r="C116" i="2"/>
  <c r="C115" i="2"/>
  <c r="D115" i="2" s="1"/>
  <c r="E115" i="2" s="1"/>
  <c r="D114" i="2"/>
  <c r="E114" i="2" s="1"/>
  <c r="C114" i="2"/>
  <c r="C113" i="2"/>
  <c r="D113" i="2" s="1"/>
  <c r="E113" i="2" s="1"/>
  <c r="D112" i="2"/>
  <c r="E112" i="2" s="1"/>
  <c r="C112" i="2"/>
  <c r="C111" i="2"/>
  <c r="D111" i="2" s="1"/>
  <c r="E111" i="2" s="1"/>
  <c r="D110" i="2"/>
  <c r="E110" i="2" s="1"/>
  <c r="C110" i="2"/>
  <c r="C109" i="2"/>
  <c r="D109" i="2" s="1"/>
  <c r="E109" i="2" s="1"/>
  <c r="D108" i="2"/>
  <c r="E108" i="2" s="1"/>
  <c r="C108" i="2"/>
  <c r="C107" i="2"/>
  <c r="D107" i="2" s="1"/>
  <c r="E107" i="2" s="1"/>
  <c r="D106" i="2"/>
  <c r="E106" i="2" s="1"/>
  <c r="C106" i="2"/>
  <c r="C105" i="2"/>
  <c r="D105" i="2" s="1"/>
  <c r="E105" i="2" s="1"/>
  <c r="D104" i="2"/>
  <c r="E104" i="2" s="1"/>
  <c r="C104" i="2"/>
  <c r="C103" i="2"/>
  <c r="D103" i="2" s="1"/>
  <c r="E103" i="2" s="1"/>
  <c r="D102" i="2"/>
  <c r="E102" i="2" s="1"/>
  <c r="C102" i="2"/>
  <c r="C101" i="2"/>
  <c r="D101" i="2" s="1"/>
  <c r="E101" i="2" s="1"/>
  <c r="D100" i="2"/>
  <c r="E100" i="2" s="1"/>
  <c r="C100" i="2"/>
  <c r="C99" i="2"/>
  <c r="D99" i="2" s="1"/>
  <c r="E99" i="2" s="1"/>
  <c r="D98" i="2"/>
  <c r="E98" i="2" s="1"/>
  <c r="C98" i="2"/>
  <c r="C97" i="2"/>
  <c r="D97" i="2" s="1"/>
  <c r="E97" i="2" s="1"/>
  <c r="D96" i="2"/>
  <c r="E96" i="2" s="1"/>
  <c r="C96" i="2"/>
  <c r="C95" i="2"/>
  <c r="D95" i="2" s="1"/>
  <c r="E95" i="2" s="1"/>
  <c r="D94" i="2"/>
  <c r="E94" i="2" s="1"/>
  <c r="C94" i="2"/>
  <c r="C93" i="2"/>
  <c r="D93" i="2" s="1"/>
  <c r="E93" i="2" s="1"/>
  <c r="D92" i="2"/>
  <c r="E92" i="2" s="1"/>
  <c r="C92" i="2"/>
  <c r="C91" i="2"/>
  <c r="D91" i="2" s="1"/>
  <c r="E91" i="2" s="1"/>
  <c r="D90" i="2"/>
  <c r="E90" i="2" s="1"/>
  <c r="C90" i="2"/>
  <c r="C89" i="2"/>
  <c r="D89" i="2" s="1"/>
  <c r="E89" i="2" s="1"/>
  <c r="D88" i="2"/>
  <c r="E88" i="2" s="1"/>
  <c r="C88" i="2"/>
  <c r="C87" i="2"/>
  <c r="D87" i="2" s="1"/>
  <c r="E87" i="2" s="1"/>
  <c r="D86" i="2"/>
  <c r="E86" i="2" s="1"/>
  <c r="C86" i="2"/>
  <c r="C85" i="2"/>
  <c r="D85" i="2" s="1"/>
  <c r="E85" i="2" s="1"/>
  <c r="D84" i="2"/>
  <c r="E84" i="2" s="1"/>
  <c r="C84" i="2"/>
  <c r="C83" i="2"/>
  <c r="D83" i="2" s="1"/>
  <c r="E83" i="2" s="1"/>
  <c r="D82" i="2"/>
  <c r="E82" i="2" s="1"/>
  <c r="C82" i="2"/>
  <c r="C81" i="2"/>
  <c r="D81" i="2" s="1"/>
  <c r="E81" i="2" s="1"/>
  <c r="D80" i="2"/>
  <c r="E80" i="2" s="1"/>
  <c r="C80" i="2"/>
  <c r="C79" i="2"/>
  <c r="D79" i="2" s="1"/>
  <c r="E79" i="2" s="1"/>
  <c r="D78" i="2"/>
  <c r="E78" i="2" s="1"/>
  <c r="C78" i="2"/>
  <c r="C77" i="2"/>
  <c r="D77" i="2" s="1"/>
  <c r="E77" i="2" s="1"/>
  <c r="D76" i="2"/>
  <c r="E76" i="2" s="1"/>
  <c r="C76" i="2"/>
  <c r="C75" i="2"/>
  <c r="D75" i="2" s="1"/>
  <c r="E75" i="2" s="1"/>
  <c r="D74" i="2"/>
  <c r="E74" i="2" s="1"/>
  <c r="C74" i="2"/>
  <c r="C73" i="2"/>
  <c r="D73" i="2" s="1"/>
  <c r="E73" i="2" s="1"/>
  <c r="D72" i="2"/>
  <c r="E72" i="2" s="1"/>
  <c r="C72" i="2"/>
  <c r="C71" i="2"/>
  <c r="D71" i="2" s="1"/>
  <c r="E71" i="2" s="1"/>
  <c r="D70" i="2"/>
  <c r="E70" i="2" s="1"/>
  <c r="C70" i="2"/>
  <c r="C69" i="2"/>
  <c r="D69" i="2" s="1"/>
  <c r="E69" i="2" s="1"/>
  <c r="D68" i="2"/>
  <c r="E68" i="2" s="1"/>
  <c r="C68" i="2"/>
  <c r="C67" i="2"/>
  <c r="D67" i="2" s="1"/>
  <c r="E67" i="2" s="1"/>
  <c r="D66" i="2"/>
  <c r="E66" i="2" s="1"/>
  <c r="C66" i="2"/>
  <c r="C65" i="2"/>
  <c r="D65" i="2" s="1"/>
  <c r="E65" i="2" s="1"/>
  <c r="D64" i="2"/>
  <c r="E64" i="2" s="1"/>
  <c r="C64" i="2"/>
  <c r="C63" i="2"/>
  <c r="D63" i="2" s="1"/>
  <c r="E63" i="2" s="1"/>
  <c r="D62" i="2"/>
  <c r="E62" i="2" s="1"/>
  <c r="C62" i="2"/>
  <c r="C61" i="2"/>
  <c r="D61" i="2" s="1"/>
  <c r="E61" i="2" s="1"/>
  <c r="D60" i="2"/>
  <c r="E60" i="2" s="1"/>
  <c r="C60" i="2"/>
  <c r="C59" i="2"/>
  <c r="D59" i="2" s="1"/>
  <c r="E59" i="2" s="1"/>
  <c r="D58" i="2"/>
  <c r="E58" i="2" s="1"/>
  <c r="C58" i="2"/>
  <c r="C57" i="2"/>
  <c r="D57" i="2" s="1"/>
  <c r="E57" i="2" s="1"/>
  <c r="D56" i="2"/>
  <c r="E56" i="2" s="1"/>
  <c r="C56" i="2"/>
  <c r="C55" i="2"/>
  <c r="D55" i="2" s="1"/>
  <c r="E55" i="2" s="1"/>
  <c r="D54" i="2"/>
  <c r="E54" i="2" s="1"/>
  <c r="C54" i="2"/>
  <c r="C53" i="2"/>
  <c r="D53" i="2" s="1"/>
  <c r="E53" i="2" s="1"/>
  <c r="D52" i="2"/>
  <c r="E52" i="2" s="1"/>
  <c r="C52" i="2"/>
  <c r="C51" i="2"/>
  <c r="D51" i="2" s="1"/>
  <c r="E51" i="2" s="1"/>
  <c r="D50" i="2"/>
  <c r="E50" i="2" s="1"/>
  <c r="C50" i="2"/>
  <c r="C49" i="2"/>
  <c r="D49" i="2" s="1"/>
  <c r="E49" i="2" s="1"/>
  <c r="D48" i="2"/>
  <c r="E48" i="2" s="1"/>
  <c r="C48" i="2"/>
  <c r="C47" i="2"/>
  <c r="D47" i="2" s="1"/>
  <c r="E47" i="2" s="1"/>
  <c r="D46" i="2"/>
  <c r="E46" i="2" s="1"/>
  <c r="C46" i="2"/>
  <c r="C45" i="2"/>
  <c r="D45" i="2" s="1"/>
  <c r="E45" i="2" s="1"/>
  <c r="D44" i="2"/>
  <c r="E44" i="2" s="1"/>
  <c r="C44" i="2"/>
  <c r="C43" i="2"/>
  <c r="D43" i="2" s="1"/>
  <c r="E43" i="2" s="1"/>
  <c r="D42" i="2"/>
  <c r="E42" i="2" s="1"/>
  <c r="C42" i="2"/>
  <c r="C41" i="2"/>
  <c r="D41" i="2" s="1"/>
  <c r="E41" i="2" s="1"/>
  <c r="D40" i="2"/>
  <c r="E40" i="2" s="1"/>
  <c r="C40" i="2"/>
  <c r="C39" i="2"/>
  <c r="D39" i="2" s="1"/>
  <c r="E39" i="2" s="1"/>
  <c r="D38" i="2"/>
  <c r="E38" i="2" s="1"/>
  <c r="C38" i="2"/>
  <c r="C37" i="2"/>
  <c r="D37" i="2" s="1"/>
  <c r="E37" i="2" s="1"/>
  <c r="D36" i="2"/>
  <c r="E36" i="2" s="1"/>
  <c r="C36" i="2"/>
  <c r="C35" i="2"/>
  <c r="D35" i="2" s="1"/>
  <c r="E35" i="2" s="1"/>
  <c r="D34" i="2"/>
  <c r="E34" i="2" s="1"/>
  <c r="C34" i="2"/>
  <c r="C33" i="2"/>
  <c r="D33" i="2" s="1"/>
  <c r="E33" i="2" s="1"/>
  <c r="D32" i="2"/>
  <c r="E32" i="2" s="1"/>
  <c r="C32" i="2"/>
  <c r="C31" i="2"/>
  <c r="D31" i="2" s="1"/>
  <c r="E31" i="2" s="1"/>
  <c r="D30" i="2"/>
  <c r="E30" i="2" s="1"/>
  <c r="C30" i="2"/>
  <c r="C29" i="2"/>
  <c r="D29" i="2" s="1"/>
  <c r="E29" i="2" s="1"/>
  <c r="D28" i="2"/>
  <c r="E28" i="2" s="1"/>
  <c r="C28" i="2"/>
  <c r="C27" i="2"/>
  <c r="D27" i="2" s="1"/>
  <c r="E27" i="2" s="1"/>
  <c r="D26" i="2"/>
  <c r="E26" i="2" s="1"/>
  <c r="C26" i="2"/>
  <c r="C25" i="2"/>
  <c r="D25" i="2" s="1"/>
  <c r="E25" i="2" s="1"/>
  <c r="D24" i="2"/>
  <c r="E24" i="2" s="1"/>
  <c r="C24" i="2"/>
  <c r="C23" i="2"/>
  <c r="D23" i="2" s="1"/>
  <c r="E23" i="2" s="1"/>
  <c r="D22" i="2"/>
  <c r="E22" i="2" s="1"/>
  <c r="C22" i="2"/>
  <c r="C21" i="2"/>
  <c r="D21" i="2" s="1"/>
  <c r="E21" i="2" s="1"/>
  <c r="D20" i="2"/>
  <c r="E20" i="2" s="1"/>
  <c r="C20" i="2"/>
  <c r="C19" i="2"/>
  <c r="D19" i="2" s="1"/>
  <c r="E19" i="2" s="1"/>
  <c r="D18" i="2"/>
  <c r="E18" i="2" s="1"/>
  <c r="C18" i="2"/>
  <c r="C17" i="2"/>
  <c r="D17" i="2" s="1"/>
  <c r="E17" i="2" s="1"/>
  <c r="D16" i="2"/>
  <c r="E16" i="2" s="1"/>
  <c r="C16" i="2"/>
  <c r="C15" i="2"/>
  <c r="D15" i="2" s="1"/>
  <c r="E15" i="2" s="1"/>
  <c r="D14" i="2"/>
  <c r="E14" i="2" s="1"/>
  <c r="C14" i="2"/>
  <c r="C13" i="2"/>
  <c r="D13" i="2" s="1"/>
  <c r="E13" i="2" s="1"/>
  <c r="D12" i="2"/>
  <c r="E12" i="2" s="1"/>
  <c r="C12" i="2"/>
  <c r="C11" i="2"/>
  <c r="D11" i="2" s="1"/>
  <c r="E11" i="2" s="1"/>
  <c r="D10" i="2"/>
  <c r="E10" i="2" s="1"/>
  <c r="C10" i="2"/>
  <c r="C9" i="2"/>
  <c r="D9" i="2" s="1"/>
  <c r="E9" i="2" s="1"/>
  <c r="D8" i="2"/>
  <c r="E8" i="2" s="1"/>
  <c r="C8" i="2"/>
  <c r="C7" i="2"/>
  <c r="D7" i="2" s="1"/>
  <c r="I4" i="2"/>
  <c r="H4" i="2"/>
  <c r="H5" i="2" s="1"/>
  <c r="H6" i="2" s="1"/>
  <c r="D507" i="2" l="1"/>
  <c r="B18" i="1" s="1"/>
  <c r="D506" i="2"/>
  <c r="B17" i="1" s="1"/>
  <c r="D505" i="2"/>
  <c r="B16" i="1" s="1"/>
  <c r="D504" i="2"/>
  <c r="B15" i="1" s="1"/>
  <c r="E7" i="2"/>
  <c r="H7" i="2"/>
  <c r="I6" i="2"/>
  <c r="I5" i="2"/>
  <c r="D509" i="2"/>
  <c r="E509" i="2"/>
  <c r="C6" i="3"/>
  <c r="D5" i="3"/>
  <c r="D4" i="3"/>
  <c r="E5" i="3" l="1"/>
  <c r="F5" i="3" s="1"/>
  <c r="G5" i="3" s="1"/>
  <c r="H8" i="2"/>
  <c r="I7" i="2"/>
  <c r="D6" i="3"/>
  <c r="C7" i="3"/>
  <c r="F502" i="2"/>
  <c r="F500" i="2"/>
  <c r="F498" i="2"/>
  <c r="F496" i="2"/>
  <c r="F494" i="2"/>
  <c r="F492" i="2"/>
  <c r="F490" i="2"/>
  <c r="F488" i="2"/>
  <c r="F486" i="2"/>
  <c r="F484" i="2"/>
  <c r="F482" i="2"/>
  <c r="F480" i="2"/>
  <c r="F478" i="2"/>
  <c r="F476" i="2"/>
  <c r="F474" i="2"/>
  <c r="F472" i="2"/>
  <c r="F470" i="2"/>
  <c r="F468" i="2"/>
  <c r="F466" i="2"/>
  <c r="F464" i="2"/>
  <c r="F462" i="2"/>
  <c r="F460" i="2"/>
  <c r="F458" i="2"/>
  <c r="F456" i="2"/>
  <c r="F454" i="2"/>
  <c r="F452" i="2"/>
  <c r="F450" i="2"/>
  <c r="F448" i="2"/>
  <c r="F446" i="2"/>
  <c r="F444" i="2"/>
  <c r="F442" i="2"/>
  <c r="F440" i="2"/>
  <c r="F438" i="2"/>
  <c r="F436" i="2"/>
  <c r="F434" i="2"/>
  <c r="F432" i="2"/>
  <c r="F430" i="2"/>
  <c r="F428" i="2"/>
  <c r="F426" i="2"/>
  <c r="F424" i="2"/>
  <c r="F422" i="2"/>
  <c r="F420" i="2"/>
  <c r="F418" i="2"/>
  <c r="F416" i="2"/>
  <c r="F414" i="2"/>
  <c r="F412" i="2"/>
  <c r="F410" i="2"/>
  <c r="F408" i="2"/>
  <c r="F406" i="2"/>
  <c r="F404" i="2"/>
  <c r="F402" i="2"/>
  <c r="F400" i="2"/>
  <c r="F398" i="2"/>
  <c r="F396" i="2"/>
  <c r="F394" i="2"/>
  <c r="F392" i="2"/>
  <c r="F390" i="2"/>
  <c r="F388" i="2"/>
  <c r="F386" i="2"/>
  <c r="F384" i="2"/>
  <c r="F382" i="2"/>
  <c r="F380" i="2"/>
  <c r="F378" i="2"/>
  <c r="F376" i="2"/>
  <c r="F374" i="2"/>
  <c r="F372" i="2"/>
  <c r="F370" i="2"/>
  <c r="F368" i="2"/>
  <c r="F366" i="2"/>
  <c r="F364" i="2"/>
  <c r="F362" i="2"/>
  <c r="F360" i="2"/>
  <c r="F358" i="2"/>
  <c r="F356" i="2"/>
  <c r="F354" i="2"/>
  <c r="F352" i="2"/>
  <c r="F350" i="2"/>
  <c r="F348" i="2"/>
  <c r="F346" i="2"/>
  <c r="F344" i="2"/>
  <c r="F342" i="2"/>
  <c r="F340" i="2"/>
  <c r="F338" i="2"/>
  <c r="F336" i="2"/>
  <c r="F334" i="2"/>
  <c r="F332" i="2"/>
  <c r="F330" i="2"/>
  <c r="F328" i="2"/>
  <c r="F326" i="2"/>
  <c r="F324" i="2"/>
  <c r="F322" i="2"/>
  <c r="F320" i="2"/>
  <c r="F318" i="2"/>
  <c r="F316" i="2"/>
  <c r="F314" i="2"/>
  <c r="F312" i="2"/>
  <c r="F310" i="2"/>
  <c r="F308" i="2"/>
  <c r="F306" i="2"/>
  <c r="F304" i="2"/>
  <c r="F302" i="2"/>
  <c r="F300" i="2"/>
  <c r="F298" i="2"/>
  <c r="F296" i="2"/>
  <c r="F294" i="2"/>
  <c r="F292" i="2"/>
  <c r="F290" i="2"/>
  <c r="F288" i="2"/>
  <c r="F286" i="2"/>
  <c r="F284" i="2"/>
  <c r="F282" i="2"/>
  <c r="F280" i="2"/>
  <c r="F278" i="2"/>
  <c r="F276" i="2"/>
  <c r="F274" i="2"/>
  <c r="F272" i="2"/>
  <c r="F270" i="2"/>
  <c r="F268" i="2"/>
  <c r="F266" i="2"/>
  <c r="F264" i="2"/>
  <c r="F501" i="2"/>
  <c r="F499" i="2"/>
  <c r="F497" i="2"/>
  <c r="F495" i="2"/>
  <c r="F493" i="2"/>
  <c r="F491" i="2"/>
  <c r="F489" i="2"/>
  <c r="F487" i="2"/>
  <c r="F485" i="2"/>
  <c r="F483" i="2"/>
  <c r="F481" i="2"/>
  <c r="F479" i="2"/>
  <c r="F477" i="2"/>
  <c r="F475" i="2"/>
  <c r="F473" i="2"/>
  <c r="F471" i="2"/>
  <c r="F469" i="2"/>
  <c r="F467" i="2"/>
  <c r="F465" i="2"/>
  <c r="F463" i="2"/>
  <c r="F461" i="2"/>
  <c r="F459" i="2"/>
  <c r="F457" i="2"/>
  <c r="F455" i="2"/>
  <c r="F453" i="2"/>
  <c r="F451" i="2"/>
  <c r="F449" i="2"/>
  <c r="F447" i="2"/>
  <c r="F445" i="2"/>
  <c r="F443" i="2"/>
  <c r="F441" i="2"/>
  <c r="F439" i="2"/>
  <c r="F437" i="2"/>
  <c r="F435" i="2"/>
  <c r="F433" i="2"/>
  <c r="F431" i="2"/>
  <c r="F429" i="2"/>
  <c r="F427" i="2"/>
  <c r="F425" i="2"/>
  <c r="F423" i="2"/>
  <c r="F421" i="2"/>
  <c r="F419" i="2"/>
  <c r="F417" i="2"/>
  <c r="F415" i="2"/>
  <c r="F413" i="2"/>
  <c r="F411" i="2"/>
  <c r="F409" i="2"/>
  <c r="F407" i="2"/>
  <c r="F405" i="2"/>
  <c r="F403" i="2"/>
  <c r="F401" i="2"/>
  <c r="F399" i="2"/>
  <c r="F397" i="2"/>
  <c r="F395" i="2"/>
  <c r="F393" i="2"/>
  <c r="F391" i="2"/>
  <c r="F389" i="2"/>
  <c r="F387" i="2"/>
  <c r="F385" i="2"/>
  <c r="F383" i="2"/>
  <c r="F381" i="2"/>
  <c r="F379" i="2"/>
  <c r="F377" i="2"/>
  <c r="F375" i="2"/>
  <c r="F373" i="2"/>
  <c r="F371" i="2"/>
  <c r="F369" i="2"/>
  <c r="F367" i="2"/>
  <c r="F365" i="2"/>
  <c r="F363" i="2"/>
  <c r="F361" i="2"/>
  <c r="F359" i="2"/>
  <c r="F357" i="2"/>
  <c r="F355" i="2"/>
  <c r="F353" i="2"/>
  <c r="F351" i="2"/>
  <c r="F349" i="2"/>
  <c r="F347" i="2"/>
  <c r="F345" i="2"/>
  <c r="F343" i="2"/>
  <c r="F341" i="2"/>
  <c r="F339" i="2"/>
  <c r="F337" i="2"/>
  <c r="F335" i="2"/>
  <c r="F333" i="2"/>
  <c r="F331" i="2"/>
  <c r="F329" i="2"/>
  <c r="F327" i="2"/>
  <c r="F325" i="2"/>
  <c r="F323" i="2"/>
  <c r="F321" i="2"/>
  <c r="F319" i="2"/>
  <c r="F317" i="2"/>
  <c r="F315" i="2"/>
  <c r="F313" i="2"/>
  <c r="F311" i="2"/>
  <c r="F309" i="2"/>
  <c r="F307" i="2"/>
  <c r="F305" i="2"/>
  <c r="F303" i="2"/>
  <c r="F301" i="2"/>
  <c r="F299" i="2"/>
  <c r="F297" i="2"/>
  <c r="F295" i="2"/>
  <c r="F293" i="2"/>
  <c r="F291" i="2"/>
  <c r="F289" i="2"/>
  <c r="F287" i="2"/>
  <c r="F285" i="2"/>
  <c r="F283" i="2"/>
  <c r="F281" i="2"/>
  <c r="F279" i="2"/>
  <c r="F277" i="2"/>
  <c r="F275" i="2"/>
  <c r="F273" i="2"/>
  <c r="F271" i="2"/>
  <c r="F269" i="2"/>
  <c r="F267" i="2"/>
  <c r="F265" i="2"/>
  <c r="F263" i="2"/>
  <c r="F164" i="2"/>
  <c r="F110" i="2"/>
  <c r="F96" i="2"/>
  <c r="F90" i="2"/>
  <c r="F84" i="2"/>
  <c r="F78" i="2"/>
  <c r="F72" i="2"/>
  <c r="F62" i="2"/>
  <c r="F56" i="2"/>
  <c r="F52" i="2"/>
  <c r="F42" i="2"/>
  <c r="F34" i="2"/>
  <c r="F28" i="2"/>
  <c r="F18" i="2"/>
  <c r="F262" i="2"/>
  <c r="F260" i="2"/>
  <c r="F258" i="2"/>
  <c r="F256" i="2"/>
  <c r="F254" i="2"/>
  <c r="F252" i="2"/>
  <c r="F250" i="2"/>
  <c r="F248" i="2"/>
  <c r="F246" i="2"/>
  <c r="F244" i="2"/>
  <c r="F242" i="2"/>
  <c r="F240" i="2"/>
  <c r="F238" i="2"/>
  <c r="F236" i="2"/>
  <c r="F234" i="2"/>
  <c r="F232" i="2"/>
  <c r="F230" i="2"/>
  <c r="F228" i="2"/>
  <c r="F226" i="2"/>
  <c r="F224" i="2"/>
  <c r="F222" i="2"/>
  <c r="F220" i="2"/>
  <c r="F218" i="2"/>
  <c r="F216" i="2"/>
  <c r="F214" i="2"/>
  <c r="F212" i="2"/>
  <c r="F210" i="2"/>
  <c r="F208" i="2"/>
  <c r="F206" i="2"/>
  <c r="F204" i="2"/>
  <c r="F202" i="2"/>
  <c r="F200" i="2"/>
  <c r="F198" i="2"/>
  <c r="F196" i="2"/>
  <c r="F194" i="2"/>
  <c r="F192" i="2"/>
  <c r="F190" i="2"/>
  <c r="F188" i="2"/>
  <c r="F186" i="2"/>
  <c r="F184" i="2"/>
  <c r="F182" i="2"/>
  <c r="F180" i="2"/>
  <c r="F178" i="2"/>
  <c r="F176" i="2"/>
  <c r="F174" i="2"/>
  <c r="F172" i="2"/>
  <c r="F170" i="2"/>
  <c r="F168" i="2"/>
  <c r="F166" i="2"/>
  <c r="F160" i="2"/>
  <c r="F158" i="2"/>
  <c r="F156" i="2"/>
  <c r="F154" i="2"/>
  <c r="F152" i="2"/>
  <c r="F150" i="2"/>
  <c r="F148" i="2"/>
  <c r="F146" i="2"/>
  <c r="F144" i="2"/>
  <c r="F142" i="2"/>
  <c r="F140" i="2"/>
  <c r="F138" i="2"/>
  <c r="F136" i="2"/>
  <c r="F134" i="2"/>
  <c r="F132" i="2"/>
  <c r="F130" i="2"/>
  <c r="F126" i="2"/>
  <c r="F124" i="2"/>
  <c r="F122" i="2"/>
  <c r="F116" i="2"/>
  <c r="F114" i="2"/>
  <c r="F112" i="2"/>
  <c r="F108" i="2"/>
  <c r="F104" i="2"/>
  <c r="F102" i="2"/>
  <c r="F100" i="2"/>
  <c r="F98" i="2"/>
  <c r="F92" i="2"/>
  <c r="F88" i="2"/>
  <c r="F82" i="2"/>
  <c r="F76" i="2"/>
  <c r="F66" i="2"/>
  <c r="F60" i="2"/>
  <c r="F46" i="2"/>
  <c r="F32" i="2"/>
  <c r="F22" i="2"/>
  <c r="F10" i="2"/>
  <c r="F163" i="2"/>
  <c r="F113" i="2"/>
  <c r="F101" i="2"/>
  <c r="F95" i="2"/>
  <c r="F91" i="2"/>
  <c r="F87" i="2"/>
  <c r="F85" i="2"/>
  <c r="F81" i="2"/>
  <c r="F77" i="2"/>
  <c r="F73" i="2"/>
  <c r="F69" i="2"/>
  <c r="F65" i="2"/>
  <c r="F61" i="2"/>
  <c r="F59" i="2"/>
  <c r="F55" i="2"/>
  <c r="F51" i="2"/>
  <c r="F47" i="2"/>
  <c r="F43" i="2"/>
  <c r="F261" i="2"/>
  <c r="F259" i="2"/>
  <c r="F257" i="2"/>
  <c r="F255" i="2"/>
  <c r="F253" i="2"/>
  <c r="F251" i="2"/>
  <c r="F249" i="2"/>
  <c r="F247" i="2"/>
  <c r="F245" i="2"/>
  <c r="F243" i="2"/>
  <c r="F241" i="2"/>
  <c r="F239" i="2"/>
  <c r="F237" i="2"/>
  <c r="F235" i="2"/>
  <c r="F233" i="2"/>
  <c r="F231" i="2"/>
  <c r="F229" i="2"/>
  <c r="F227" i="2"/>
  <c r="F225" i="2"/>
  <c r="F223" i="2"/>
  <c r="F221" i="2"/>
  <c r="F219" i="2"/>
  <c r="F217" i="2"/>
  <c r="F215" i="2"/>
  <c r="F213" i="2"/>
  <c r="F211" i="2"/>
  <c r="F209" i="2"/>
  <c r="F207" i="2"/>
  <c r="F205" i="2"/>
  <c r="F203" i="2"/>
  <c r="F201" i="2"/>
  <c r="F199" i="2"/>
  <c r="F197" i="2"/>
  <c r="F195" i="2"/>
  <c r="F193" i="2"/>
  <c r="F191" i="2"/>
  <c r="F189" i="2"/>
  <c r="F187" i="2"/>
  <c r="F185" i="2"/>
  <c r="F183" i="2"/>
  <c r="F181" i="2"/>
  <c r="F179" i="2"/>
  <c r="F177" i="2"/>
  <c r="F175" i="2"/>
  <c r="F173" i="2"/>
  <c r="F171" i="2"/>
  <c r="F169" i="2"/>
  <c r="F167" i="2"/>
  <c r="F165" i="2"/>
  <c r="F161" i="2"/>
  <c r="F159" i="2"/>
  <c r="F157" i="2"/>
  <c r="F155" i="2"/>
  <c r="F153" i="2"/>
  <c r="F151" i="2"/>
  <c r="F149" i="2"/>
  <c r="F147" i="2"/>
  <c r="F145" i="2"/>
  <c r="F143" i="2"/>
  <c r="F141" i="2"/>
  <c r="F139" i="2"/>
  <c r="F137" i="2"/>
  <c r="F135" i="2"/>
  <c r="F133" i="2"/>
  <c r="F131" i="2"/>
  <c r="F129" i="2"/>
  <c r="F127" i="2"/>
  <c r="F125" i="2"/>
  <c r="F123" i="2"/>
  <c r="F121" i="2"/>
  <c r="F119" i="2"/>
  <c r="F117" i="2"/>
  <c r="F115" i="2"/>
  <c r="F111" i="2"/>
  <c r="F109" i="2"/>
  <c r="F107" i="2"/>
  <c r="F105" i="2"/>
  <c r="F103" i="2"/>
  <c r="F99" i="2"/>
  <c r="F97" i="2"/>
  <c r="F93" i="2"/>
  <c r="F89" i="2"/>
  <c r="F83" i="2"/>
  <c r="F79" i="2"/>
  <c r="F75" i="2"/>
  <c r="F71" i="2"/>
  <c r="F67" i="2"/>
  <c r="F63" i="2"/>
  <c r="F57" i="2"/>
  <c r="F53" i="2"/>
  <c r="F49" i="2"/>
  <c r="F45" i="2"/>
  <c r="F41" i="2"/>
  <c r="F118" i="2"/>
  <c r="F44" i="2"/>
  <c r="F120" i="2"/>
  <c r="F70" i="2"/>
  <c r="F54" i="2"/>
  <c r="F38" i="2"/>
  <c r="F26" i="2"/>
  <c r="F16" i="2"/>
  <c r="F128" i="2"/>
  <c r="F68" i="2"/>
  <c r="F48" i="2"/>
  <c r="F36" i="2"/>
  <c r="F24" i="2"/>
  <c r="F14" i="2"/>
  <c r="F162" i="2"/>
  <c r="F106" i="2"/>
  <c r="F94" i="2"/>
  <c r="F86" i="2"/>
  <c r="F80" i="2"/>
  <c r="F74" i="2"/>
  <c r="F64" i="2"/>
  <c r="F58" i="2"/>
  <c r="F50" i="2"/>
  <c r="F40" i="2"/>
  <c r="F30" i="2"/>
  <c r="F20" i="2"/>
  <c r="F12" i="2"/>
  <c r="F29" i="2"/>
  <c r="F17" i="2"/>
  <c r="F35" i="2"/>
  <c r="F23" i="2"/>
  <c r="F11" i="2"/>
  <c r="F33" i="2"/>
  <c r="F27" i="2"/>
  <c r="F21" i="2"/>
  <c r="F9" i="2"/>
  <c r="F39" i="2"/>
  <c r="F15" i="2"/>
  <c r="F8" i="2"/>
  <c r="F37" i="2"/>
  <c r="F31" i="2"/>
  <c r="F25" i="2"/>
  <c r="F19" i="2"/>
  <c r="F13" i="2"/>
  <c r="F7" i="2"/>
  <c r="H9" i="2" l="1"/>
  <c r="I8" i="2"/>
  <c r="E6" i="3"/>
  <c r="F6" i="3" s="1"/>
  <c r="G6" i="3" s="1"/>
  <c r="D508" i="2"/>
  <c r="B19" i="1" s="1"/>
  <c r="C8" i="3"/>
  <c r="D7" i="3"/>
  <c r="H10" i="2" l="1"/>
  <c r="I9" i="2"/>
  <c r="C9" i="3"/>
  <c r="D8" i="3"/>
  <c r="E7" i="3"/>
  <c r="F7" i="3" s="1"/>
  <c r="G7" i="3" s="1"/>
  <c r="C10" i="3" l="1"/>
  <c r="D9" i="3"/>
  <c r="E9" i="3"/>
  <c r="F9" i="3" s="1"/>
  <c r="G9" i="3" s="1"/>
  <c r="H11" i="2"/>
  <c r="I10" i="2"/>
  <c r="E8" i="3"/>
  <c r="F8" i="3" s="1"/>
  <c r="G8" i="3" s="1"/>
  <c r="H12" i="2" l="1"/>
  <c r="I11" i="2"/>
  <c r="C11" i="3"/>
  <c r="F10" i="3"/>
  <c r="G10" i="3" s="1"/>
  <c r="D10" i="3"/>
  <c r="E10" i="3"/>
  <c r="D11" i="3" l="1"/>
  <c r="C12" i="3"/>
  <c r="H13" i="2"/>
  <c r="I12" i="2"/>
  <c r="E11" i="3"/>
  <c r="F11" i="3" s="1"/>
  <c r="G11" i="3" s="1"/>
  <c r="H14" i="2" l="1"/>
  <c r="I13" i="2"/>
  <c r="C13" i="3"/>
  <c r="D12" i="3"/>
  <c r="E12" i="3" l="1"/>
  <c r="F12" i="3" s="1"/>
  <c r="G12" i="3" s="1"/>
  <c r="D13" i="3"/>
  <c r="C14" i="3"/>
  <c r="H15" i="2"/>
  <c r="I14" i="2"/>
  <c r="H16" i="2" l="1"/>
  <c r="I15" i="2"/>
  <c r="C15" i="3"/>
  <c r="D14" i="3"/>
  <c r="E14" i="3" s="1"/>
  <c r="F14" i="3" s="1"/>
  <c r="G14" i="3" s="1"/>
  <c r="E13" i="3"/>
  <c r="F13" i="3" s="1"/>
  <c r="G13" i="3" s="1"/>
  <c r="C16" i="3" l="1"/>
  <c r="D15" i="3"/>
  <c r="E15" i="3" s="1"/>
  <c r="F15" i="3" s="1"/>
  <c r="G15" i="3" s="1"/>
  <c r="H17" i="2"/>
  <c r="I16" i="2"/>
  <c r="H18" i="2" l="1"/>
  <c r="I17" i="2"/>
  <c r="D16" i="3"/>
  <c r="E16" i="3" s="1"/>
  <c r="C17" i="3"/>
  <c r="F16" i="3"/>
  <c r="G16" i="3" s="1"/>
  <c r="C18" i="3" l="1"/>
  <c r="D17" i="3"/>
  <c r="E17" i="3" s="1"/>
  <c r="F17" i="3" s="1"/>
  <c r="G17" i="3" s="1"/>
  <c r="H19" i="2"/>
  <c r="I18" i="2"/>
  <c r="H20" i="2" l="1"/>
  <c r="I19" i="2"/>
  <c r="D18" i="3"/>
  <c r="E18" i="3" s="1"/>
  <c r="F18" i="3" s="1"/>
  <c r="G18" i="3" s="1"/>
  <c r="C19" i="3"/>
  <c r="C20" i="3" l="1"/>
  <c r="D19" i="3"/>
  <c r="E19" i="3" s="1"/>
  <c r="F19" i="3" s="1"/>
  <c r="G19" i="3" s="1"/>
  <c r="H21" i="2"/>
  <c r="I20" i="2"/>
  <c r="H22" i="2" l="1"/>
  <c r="I21" i="2"/>
  <c r="C21" i="3"/>
  <c r="D20" i="3"/>
  <c r="E20" i="3" s="1"/>
  <c r="F20" i="3" s="1"/>
  <c r="G20" i="3" s="1"/>
  <c r="C22" i="3" l="1"/>
  <c r="D21" i="3"/>
  <c r="E21" i="3" s="1"/>
  <c r="F21" i="3" s="1"/>
  <c r="G21" i="3" s="1"/>
  <c r="H23" i="2"/>
  <c r="I22" i="2"/>
  <c r="H24" i="2" l="1"/>
  <c r="I23" i="2"/>
  <c r="C23" i="3"/>
  <c r="D22" i="3"/>
  <c r="E22" i="3" s="1"/>
  <c r="F22" i="3" s="1"/>
  <c r="G22" i="3" s="1"/>
  <c r="D23" i="3" l="1"/>
  <c r="E23" i="3" s="1"/>
  <c r="F23" i="3" s="1"/>
  <c r="G23" i="3" s="1"/>
  <c r="C24" i="3"/>
  <c r="H25" i="2"/>
  <c r="I24" i="2"/>
  <c r="H26" i="2" l="1"/>
  <c r="I25" i="2"/>
  <c r="C25" i="3"/>
  <c r="D24" i="3"/>
  <c r="E24" i="3" s="1"/>
  <c r="F24" i="3" s="1"/>
  <c r="G24" i="3" s="1"/>
  <c r="D25" i="3" l="1"/>
  <c r="E25" i="3" s="1"/>
  <c r="F25" i="3" s="1"/>
  <c r="G25" i="3" s="1"/>
  <c r="C26" i="3"/>
  <c r="H27" i="2"/>
  <c r="I26" i="2"/>
  <c r="H28" i="2" l="1"/>
  <c r="I27" i="2"/>
  <c r="C27" i="3"/>
  <c r="D26" i="3"/>
  <c r="E26" i="3" s="1"/>
  <c r="F26" i="3" s="1"/>
  <c r="G26" i="3" s="1"/>
  <c r="C28" i="3" l="1"/>
  <c r="D27" i="3"/>
  <c r="E27" i="3" s="1"/>
  <c r="F27" i="3" s="1"/>
  <c r="G27" i="3" s="1"/>
  <c r="H29" i="2"/>
  <c r="I28" i="2"/>
  <c r="H30" i="2" l="1"/>
  <c r="I29" i="2"/>
  <c r="D28" i="3"/>
  <c r="E28" i="3" s="1"/>
  <c r="F28" i="3" s="1"/>
  <c r="G28" i="3" s="1"/>
  <c r="C29" i="3"/>
  <c r="C30" i="3" l="1"/>
  <c r="D29" i="3"/>
  <c r="E29" i="3" s="1"/>
  <c r="F29" i="3" s="1"/>
  <c r="G29" i="3" s="1"/>
  <c r="H31" i="2"/>
  <c r="I30" i="2"/>
  <c r="H32" i="2" l="1"/>
  <c r="I31" i="2"/>
  <c r="D30" i="3"/>
  <c r="E30" i="3" s="1"/>
  <c r="F30" i="3" s="1"/>
  <c r="G30" i="3" s="1"/>
  <c r="C31" i="3"/>
  <c r="C32" i="3" l="1"/>
  <c r="D31" i="3"/>
  <c r="E31" i="3" s="1"/>
  <c r="F31" i="3" s="1"/>
  <c r="G31" i="3" s="1"/>
  <c r="H33" i="2"/>
  <c r="I32" i="2"/>
  <c r="H34" i="2" l="1"/>
  <c r="I33" i="2"/>
  <c r="C33" i="3"/>
  <c r="D32" i="3"/>
  <c r="E32" i="3" s="1"/>
  <c r="F32" i="3" s="1"/>
  <c r="G32" i="3" s="1"/>
  <c r="C34" i="3" l="1"/>
  <c r="D33" i="3"/>
  <c r="E33" i="3" s="1"/>
  <c r="F33" i="3" s="1"/>
  <c r="G33" i="3" s="1"/>
  <c r="H35" i="2"/>
  <c r="I34" i="2"/>
  <c r="H36" i="2" l="1"/>
  <c r="I35" i="2"/>
  <c r="C35" i="3"/>
  <c r="D34" i="3"/>
  <c r="E34" i="3" s="1"/>
  <c r="F34" i="3" s="1"/>
  <c r="G34" i="3" s="1"/>
  <c r="D35" i="3" l="1"/>
  <c r="E35" i="3" s="1"/>
  <c r="F35" i="3" s="1"/>
  <c r="G35" i="3" s="1"/>
  <c r="C36" i="3"/>
  <c r="H37" i="2"/>
  <c r="I36" i="2"/>
  <c r="H38" i="2" l="1"/>
  <c r="I37" i="2"/>
  <c r="C37" i="3"/>
  <c r="D36" i="3"/>
  <c r="E36" i="3" s="1"/>
  <c r="F36" i="3" s="1"/>
  <c r="G36" i="3" s="1"/>
  <c r="D37" i="3" l="1"/>
  <c r="E37" i="3" s="1"/>
  <c r="F37" i="3" s="1"/>
  <c r="G37" i="3" s="1"/>
  <c r="C38" i="3"/>
  <c r="H39" i="2"/>
  <c r="I38" i="2"/>
  <c r="H40" i="2" l="1"/>
  <c r="I39" i="2"/>
  <c r="C39" i="3"/>
  <c r="D38" i="3"/>
  <c r="E38" i="3" s="1"/>
  <c r="F38" i="3" s="1"/>
  <c r="G38" i="3" s="1"/>
  <c r="C40" i="3" l="1"/>
  <c r="D39" i="3"/>
  <c r="E39" i="3" s="1"/>
  <c r="F39" i="3" s="1"/>
  <c r="G39" i="3" s="1"/>
  <c r="H41" i="2"/>
  <c r="I40" i="2"/>
  <c r="H42" i="2" l="1"/>
  <c r="I41" i="2"/>
  <c r="D40" i="3"/>
  <c r="E40" i="3" s="1"/>
  <c r="F40" i="3" s="1"/>
  <c r="G40" i="3" s="1"/>
  <c r="C41" i="3"/>
  <c r="C42" i="3" l="1"/>
  <c r="D41" i="3"/>
  <c r="E41" i="3" s="1"/>
  <c r="F41" i="3" s="1"/>
  <c r="G41" i="3" s="1"/>
  <c r="H43" i="2"/>
  <c r="I42" i="2"/>
  <c r="H44" i="2" l="1"/>
  <c r="I43" i="2"/>
  <c r="D42" i="3"/>
  <c r="E42" i="3" s="1"/>
  <c r="F42" i="3" s="1"/>
  <c r="G42" i="3" s="1"/>
  <c r="C43" i="3"/>
  <c r="C44" i="3" l="1"/>
  <c r="D43" i="3"/>
  <c r="E43" i="3" s="1"/>
  <c r="F43" i="3" s="1"/>
  <c r="G43" i="3" s="1"/>
  <c r="H45" i="2"/>
  <c r="I44" i="2"/>
  <c r="H46" i="2" l="1"/>
  <c r="I45" i="2"/>
  <c r="C45" i="3"/>
  <c r="D44" i="3"/>
  <c r="E44" i="3" s="1"/>
  <c r="F44" i="3" s="1"/>
  <c r="G44" i="3" s="1"/>
  <c r="C46" i="3" l="1"/>
  <c r="D45" i="3"/>
  <c r="E45" i="3" s="1"/>
  <c r="F45" i="3" s="1"/>
  <c r="G45" i="3" s="1"/>
  <c r="H47" i="2"/>
  <c r="I46" i="2"/>
  <c r="H48" i="2" l="1"/>
  <c r="I47" i="2"/>
  <c r="C47" i="3"/>
  <c r="D46" i="3"/>
  <c r="E46" i="3" s="1"/>
  <c r="F46" i="3" s="1"/>
  <c r="G46" i="3" s="1"/>
  <c r="D47" i="3" l="1"/>
  <c r="E47" i="3" s="1"/>
  <c r="F47" i="3" s="1"/>
  <c r="G47" i="3" s="1"/>
  <c r="C48" i="3"/>
  <c r="H49" i="2"/>
  <c r="I48" i="2"/>
  <c r="H50" i="2" l="1"/>
  <c r="I49" i="2"/>
  <c r="C49" i="3"/>
  <c r="D48" i="3"/>
  <c r="E48" i="3" s="1"/>
  <c r="F48" i="3" s="1"/>
  <c r="G48" i="3" s="1"/>
  <c r="D49" i="3" l="1"/>
  <c r="E49" i="3" s="1"/>
  <c r="F49" i="3" s="1"/>
  <c r="G49" i="3" s="1"/>
  <c r="C50" i="3"/>
  <c r="H51" i="2"/>
  <c r="I50" i="2"/>
  <c r="H52" i="2" l="1"/>
  <c r="I51" i="2"/>
  <c r="C51" i="3"/>
  <c r="D50" i="3"/>
  <c r="E50" i="3" s="1"/>
  <c r="F50" i="3" s="1"/>
  <c r="G50" i="3" s="1"/>
  <c r="C52" i="3" l="1"/>
  <c r="D51" i="3"/>
  <c r="E51" i="3" s="1"/>
  <c r="F51" i="3" s="1"/>
  <c r="G51" i="3" s="1"/>
  <c r="H53" i="2"/>
  <c r="I52" i="2"/>
  <c r="H54" i="2" l="1"/>
  <c r="I53" i="2"/>
  <c r="D52" i="3"/>
  <c r="E52" i="3" s="1"/>
  <c r="F52" i="3" s="1"/>
  <c r="G52" i="3" s="1"/>
  <c r="C53" i="3"/>
  <c r="C54" i="3" l="1"/>
  <c r="D53" i="3"/>
  <c r="E53" i="3" s="1"/>
  <c r="F53" i="3" s="1"/>
  <c r="G53" i="3" s="1"/>
  <c r="H55" i="2"/>
  <c r="I54" i="2"/>
  <c r="H56" i="2" l="1"/>
  <c r="I55" i="2"/>
  <c r="D54" i="3"/>
  <c r="E54" i="3" s="1"/>
  <c r="F54" i="3" s="1"/>
  <c r="G54" i="3" s="1"/>
  <c r="C55" i="3"/>
  <c r="C56" i="3" l="1"/>
  <c r="D55" i="3"/>
  <c r="E55" i="3" s="1"/>
  <c r="F55" i="3" s="1"/>
  <c r="G55" i="3" s="1"/>
  <c r="H57" i="2"/>
  <c r="I56" i="2"/>
  <c r="H58" i="2" l="1"/>
  <c r="I57" i="2"/>
  <c r="C57" i="3"/>
  <c r="D56" i="3"/>
  <c r="E56" i="3" s="1"/>
  <c r="F56" i="3" s="1"/>
  <c r="G56" i="3" s="1"/>
  <c r="C58" i="3" l="1"/>
  <c r="D57" i="3"/>
  <c r="E57" i="3" s="1"/>
  <c r="F57" i="3" s="1"/>
  <c r="G57" i="3" s="1"/>
  <c r="H59" i="2"/>
  <c r="I58" i="2"/>
  <c r="H60" i="2" l="1"/>
  <c r="I59" i="2"/>
  <c r="C59" i="3"/>
  <c r="D58" i="3"/>
  <c r="E58" i="3" s="1"/>
  <c r="F58" i="3" s="1"/>
  <c r="G58" i="3" s="1"/>
  <c r="D59" i="3" l="1"/>
  <c r="E59" i="3" s="1"/>
  <c r="F59" i="3" s="1"/>
  <c r="G59" i="3" s="1"/>
  <c r="C60" i="3"/>
  <c r="H61" i="2"/>
  <c r="I60" i="2"/>
  <c r="H62" i="2" l="1"/>
  <c r="I61" i="2"/>
  <c r="C61" i="3"/>
  <c r="D60" i="3"/>
  <c r="E60" i="3" s="1"/>
  <c r="F60" i="3" s="1"/>
  <c r="G60" i="3" s="1"/>
  <c r="D61" i="3" l="1"/>
  <c r="E61" i="3" s="1"/>
  <c r="F61" i="3" s="1"/>
  <c r="G61" i="3" s="1"/>
  <c r="C62" i="3"/>
  <c r="H63" i="2"/>
  <c r="I62" i="2"/>
  <c r="H64" i="2" l="1"/>
  <c r="I63" i="2"/>
  <c r="C63" i="3"/>
  <c r="D62" i="3"/>
  <c r="E62" i="3" s="1"/>
  <c r="F62" i="3" s="1"/>
  <c r="G62" i="3" s="1"/>
  <c r="C64" i="3" l="1"/>
  <c r="D63" i="3"/>
  <c r="E63" i="3" s="1"/>
  <c r="F63" i="3" s="1"/>
  <c r="G63" i="3" s="1"/>
  <c r="H65" i="2"/>
  <c r="I64" i="2"/>
  <c r="H66" i="2" l="1"/>
  <c r="I65" i="2"/>
  <c r="D64" i="3"/>
  <c r="E64" i="3" s="1"/>
  <c r="F64" i="3" s="1"/>
  <c r="G64" i="3" s="1"/>
  <c r="C65" i="3"/>
  <c r="C66" i="3" l="1"/>
  <c r="D65" i="3"/>
  <c r="E65" i="3" s="1"/>
  <c r="F65" i="3" s="1"/>
  <c r="G65" i="3" s="1"/>
  <c r="H67" i="2"/>
  <c r="I66" i="2"/>
  <c r="H68" i="2" l="1"/>
  <c r="I67" i="2"/>
  <c r="D66" i="3"/>
  <c r="E66" i="3" s="1"/>
  <c r="F66" i="3" s="1"/>
  <c r="G66" i="3" s="1"/>
  <c r="C67" i="3"/>
  <c r="C68" i="3" l="1"/>
  <c r="D67" i="3"/>
  <c r="E67" i="3" s="1"/>
  <c r="F67" i="3" s="1"/>
  <c r="G67" i="3" s="1"/>
  <c r="H69" i="2"/>
  <c r="I68" i="2"/>
  <c r="H70" i="2" l="1"/>
  <c r="I69" i="2"/>
  <c r="C69" i="3"/>
  <c r="D68" i="3"/>
  <c r="E68" i="3" s="1"/>
  <c r="F68" i="3" s="1"/>
  <c r="G68" i="3" s="1"/>
  <c r="C70" i="3" l="1"/>
  <c r="D69" i="3"/>
  <c r="E69" i="3" s="1"/>
  <c r="F69" i="3" s="1"/>
  <c r="G69" i="3" s="1"/>
  <c r="H71" i="2"/>
  <c r="I70" i="2"/>
  <c r="H72" i="2" l="1"/>
  <c r="I71" i="2"/>
  <c r="C71" i="3"/>
  <c r="D70" i="3"/>
  <c r="E70" i="3" s="1"/>
  <c r="F70" i="3" s="1"/>
  <c r="G70" i="3" s="1"/>
  <c r="D71" i="3" l="1"/>
  <c r="E71" i="3" s="1"/>
  <c r="F71" i="3" s="1"/>
  <c r="G71" i="3" s="1"/>
  <c r="C72" i="3"/>
  <c r="H73" i="2"/>
  <c r="I72" i="2"/>
  <c r="H74" i="2" l="1"/>
  <c r="I73" i="2"/>
  <c r="C73" i="3"/>
  <c r="D72" i="3"/>
  <c r="E72" i="3" s="1"/>
  <c r="F72" i="3" s="1"/>
  <c r="G72" i="3" s="1"/>
  <c r="D73" i="3" l="1"/>
  <c r="E73" i="3" s="1"/>
  <c r="F73" i="3" s="1"/>
  <c r="G73" i="3" s="1"/>
  <c r="C74" i="3"/>
  <c r="H75" i="2"/>
  <c r="I74" i="2"/>
  <c r="H76" i="2" l="1"/>
  <c r="I75" i="2"/>
  <c r="C75" i="3"/>
  <c r="D74" i="3"/>
  <c r="E74" i="3" s="1"/>
  <c r="F74" i="3" s="1"/>
  <c r="G74" i="3" s="1"/>
  <c r="C76" i="3" l="1"/>
  <c r="D75" i="3"/>
  <c r="E75" i="3" s="1"/>
  <c r="F75" i="3" s="1"/>
  <c r="G75" i="3" s="1"/>
  <c r="H77" i="2"/>
  <c r="I76" i="2"/>
  <c r="H78" i="2" l="1"/>
  <c r="I77" i="2"/>
  <c r="D76" i="3"/>
  <c r="E76" i="3" s="1"/>
  <c r="F76" i="3" s="1"/>
  <c r="G76" i="3" s="1"/>
  <c r="C77" i="3"/>
  <c r="C78" i="3" l="1"/>
  <c r="D77" i="3"/>
  <c r="E77" i="3" s="1"/>
  <c r="F77" i="3" s="1"/>
  <c r="G77" i="3" s="1"/>
  <c r="H79" i="2"/>
  <c r="I78" i="2"/>
  <c r="H80" i="2" l="1"/>
  <c r="I79" i="2"/>
  <c r="D78" i="3"/>
  <c r="E78" i="3" s="1"/>
  <c r="F78" i="3" s="1"/>
  <c r="G78" i="3" s="1"/>
  <c r="C79" i="3"/>
  <c r="C80" i="3" l="1"/>
  <c r="D79" i="3"/>
  <c r="E79" i="3" s="1"/>
  <c r="F79" i="3" s="1"/>
  <c r="G79" i="3" s="1"/>
  <c r="H81" i="2"/>
  <c r="I80" i="2"/>
  <c r="H82" i="2" l="1"/>
  <c r="I81" i="2"/>
  <c r="C81" i="3"/>
  <c r="D80" i="3"/>
  <c r="E80" i="3" s="1"/>
  <c r="F80" i="3" s="1"/>
  <c r="G80" i="3" s="1"/>
  <c r="C82" i="3" l="1"/>
  <c r="D81" i="3"/>
  <c r="E81" i="3" s="1"/>
  <c r="F81" i="3" s="1"/>
  <c r="G81" i="3" s="1"/>
  <c r="H83" i="2"/>
  <c r="I82" i="2"/>
  <c r="H84" i="2" l="1"/>
  <c r="I83" i="2"/>
  <c r="C83" i="3"/>
  <c r="D82" i="3"/>
  <c r="E82" i="3" s="1"/>
  <c r="F82" i="3" s="1"/>
  <c r="G82" i="3" s="1"/>
  <c r="D83" i="3" l="1"/>
  <c r="E83" i="3" s="1"/>
  <c r="F83" i="3" s="1"/>
  <c r="G83" i="3" s="1"/>
  <c r="C84" i="3"/>
  <c r="H85" i="2"/>
  <c r="I84" i="2"/>
  <c r="H86" i="2" l="1"/>
  <c r="I85" i="2"/>
  <c r="C85" i="3"/>
  <c r="D84" i="3"/>
  <c r="E84" i="3" s="1"/>
  <c r="F84" i="3" s="1"/>
  <c r="G84" i="3" s="1"/>
  <c r="D85" i="3" l="1"/>
  <c r="E85" i="3" s="1"/>
  <c r="F85" i="3" s="1"/>
  <c r="G85" i="3" s="1"/>
  <c r="C86" i="3"/>
  <c r="H87" i="2"/>
  <c r="I86" i="2"/>
  <c r="H88" i="2" l="1"/>
  <c r="I87" i="2"/>
  <c r="C87" i="3"/>
  <c r="D86" i="3"/>
  <c r="E86" i="3" s="1"/>
  <c r="F86" i="3" s="1"/>
  <c r="G86" i="3" s="1"/>
  <c r="C88" i="3" l="1"/>
  <c r="D87" i="3"/>
  <c r="E87" i="3" s="1"/>
  <c r="F87" i="3" s="1"/>
  <c r="G87" i="3" s="1"/>
  <c r="H89" i="2"/>
  <c r="I88" i="2"/>
  <c r="H90" i="2" l="1"/>
  <c r="I89" i="2"/>
  <c r="D88" i="3"/>
  <c r="E88" i="3" s="1"/>
  <c r="F88" i="3" s="1"/>
  <c r="G88" i="3" s="1"/>
  <c r="C89" i="3"/>
  <c r="C90" i="3" l="1"/>
  <c r="D89" i="3"/>
  <c r="E89" i="3" s="1"/>
  <c r="F89" i="3" s="1"/>
  <c r="G89" i="3" s="1"/>
  <c r="H91" i="2"/>
  <c r="I90" i="2"/>
  <c r="H92" i="2" l="1"/>
  <c r="I91" i="2"/>
  <c r="D90" i="3"/>
  <c r="E90" i="3" s="1"/>
  <c r="F90" i="3" s="1"/>
  <c r="G90" i="3" s="1"/>
  <c r="C91" i="3"/>
  <c r="C92" i="3" l="1"/>
  <c r="D91" i="3"/>
  <c r="E91" i="3" s="1"/>
  <c r="F91" i="3" s="1"/>
  <c r="G91" i="3" s="1"/>
  <c r="H93" i="2"/>
  <c r="I92" i="2"/>
  <c r="H94" i="2" l="1"/>
  <c r="I93" i="2"/>
  <c r="C93" i="3"/>
  <c r="D92" i="3"/>
  <c r="E92" i="3" s="1"/>
  <c r="F92" i="3" s="1"/>
  <c r="G92" i="3" s="1"/>
  <c r="C94" i="3" l="1"/>
  <c r="D93" i="3"/>
  <c r="E93" i="3" s="1"/>
  <c r="F93" i="3" s="1"/>
  <c r="G93" i="3" s="1"/>
  <c r="H95" i="2"/>
  <c r="I94" i="2"/>
  <c r="H96" i="2" l="1"/>
  <c r="I95" i="2"/>
  <c r="C95" i="3"/>
  <c r="D94" i="3"/>
  <c r="E94" i="3" s="1"/>
  <c r="F94" i="3" s="1"/>
  <c r="G94" i="3" s="1"/>
  <c r="D95" i="3" l="1"/>
  <c r="E95" i="3" s="1"/>
  <c r="F95" i="3" s="1"/>
  <c r="G95" i="3" s="1"/>
  <c r="C96" i="3"/>
  <c r="H97" i="2"/>
  <c r="I96" i="2"/>
  <c r="H98" i="2" l="1"/>
  <c r="I97" i="2"/>
  <c r="C97" i="3"/>
  <c r="D96" i="3"/>
  <c r="E96" i="3" s="1"/>
  <c r="F96" i="3" s="1"/>
  <c r="G96" i="3" s="1"/>
  <c r="D97" i="3" l="1"/>
  <c r="E97" i="3" s="1"/>
  <c r="F97" i="3" s="1"/>
  <c r="G97" i="3" s="1"/>
  <c r="C98" i="3"/>
  <c r="H99" i="2"/>
  <c r="I98" i="2"/>
  <c r="H100" i="2" l="1"/>
  <c r="I99" i="2"/>
  <c r="C99" i="3"/>
  <c r="D98" i="3"/>
  <c r="E98" i="3" s="1"/>
  <c r="F98" i="3" s="1"/>
  <c r="G98" i="3" s="1"/>
  <c r="C100" i="3" l="1"/>
  <c r="D99" i="3"/>
  <c r="E99" i="3" s="1"/>
  <c r="F99" i="3" s="1"/>
  <c r="G99" i="3" s="1"/>
  <c r="H101" i="2"/>
  <c r="I100" i="2"/>
  <c r="H102" i="2" l="1"/>
  <c r="I101" i="2"/>
  <c r="D100" i="3"/>
  <c r="E100" i="3" s="1"/>
  <c r="F100" i="3" s="1"/>
  <c r="G100" i="3" s="1"/>
  <c r="C101" i="3"/>
  <c r="C102" i="3" l="1"/>
  <c r="D101" i="3"/>
  <c r="E101" i="3" s="1"/>
  <c r="F101" i="3" s="1"/>
  <c r="G101" i="3" s="1"/>
  <c r="H103" i="2"/>
  <c r="I102" i="2"/>
  <c r="H104" i="2" l="1"/>
  <c r="I103" i="2"/>
  <c r="D102" i="3"/>
  <c r="E102" i="3" s="1"/>
  <c r="F102" i="3" s="1"/>
  <c r="G102" i="3" s="1"/>
  <c r="C103" i="3"/>
  <c r="C104" i="3" l="1"/>
  <c r="D103" i="3"/>
  <c r="E103" i="3" s="1"/>
  <c r="F103" i="3" s="1"/>
  <c r="G103" i="3" s="1"/>
  <c r="H105" i="2"/>
  <c r="I104" i="2"/>
  <c r="H106" i="2" l="1"/>
  <c r="I105" i="2"/>
  <c r="C105" i="3"/>
  <c r="D104" i="3"/>
  <c r="E104" i="3" s="1"/>
  <c r="F104" i="3" s="1"/>
  <c r="G104" i="3" s="1"/>
  <c r="C106" i="3" l="1"/>
  <c r="D105" i="3"/>
  <c r="E105" i="3" s="1"/>
  <c r="F105" i="3" s="1"/>
  <c r="G105" i="3" s="1"/>
  <c r="H107" i="2"/>
  <c r="I106" i="2"/>
  <c r="H108" i="2" l="1"/>
  <c r="I107" i="2"/>
  <c r="C107" i="3"/>
  <c r="D106" i="3"/>
  <c r="E106" i="3" s="1"/>
  <c r="F106" i="3" s="1"/>
  <c r="G106" i="3" s="1"/>
  <c r="D107" i="3" l="1"/>
  <c r="E107" i="3" s="1"/>
  <c r="F107" i="3" s="1"/>
  <c r="G107" i="3" s="1"/>
  <c r="C108" i="3"/>
  <c r="H109" i="2"/>
  <c r="I108" i="2"/>
  <c r="H110" i="2" l="1"/>
  <c r="I109" i="2"/>
  <c r="C109" i="3"/>
  <c r="D108" i="3"/>
  <c r="E108" i="3" s="1"/>
  <c r="F108" i="3" s="1"/>
  <c r="G108" i="3" s="1"/>
  <c r="D109" i="3" l="1"/>
  <c r="E109" i="3" s="1"/>
  <c r="F109" i="3" s="1"/>
  <c r="G109" i="3" s="1"/>
  <c r="C110" i="3"/>
  <c r="H111" i="2"/>
  <c r="I110" i="2"/>
  <c r="H112" i="2" l="1"/>
  <c r="I111" i="2"/>
  <c r="C111" i="3"/>
  <c r="D110" i="3"/>
  <c r="E110" i="3" s="1"/>
  <c r="F110" i="3" s="1"/>
  <c r="G110" i="3" s="1"/>
  <c r="D111" i="3" l="1"/>
  <c r="E111" i="3" s="1"/>
  <c r="F111" i="3" s="1"/>
  <c r="G111" i="3" s="1"/>
  <c r="C112" i="3"/>
  <c r="H113" i="2"/>
  <c r="I112" i="2"/>
  <c r="H114" i="2" l="1"/>
  <c r="I113" i="2"/>
  <c r="C113" i="3"/>
  <c r="D112" i="3"/>
  <c r="E112" i="3" s="1"/>
  <c r="F112" i="3" s="1"/>
  <c r="G112" i="3" s="1"/>
  <c r="D113" i="3" l="1"/>
  <c r="E113" i="3" s="1"/>
  <c r="F113" i="3" s="1"/>
  <c r="G113" i="3" s="1"/>
  <c r="C114" i="3"/>
  <c r="H115" i="2"/>
  <c r="I114" i="2"/>
  <c r="H116" i="2" l="1"/>
  <c r="I115" i="2"/>
  <c r="C115" i="3"/>
  <c r="D114" i="3"/>
  <c r="E114" i="3" s="1"/>
  <c r="F114" i="3" s="1"/>
  <c r="G114" i="3" s="1"/>
  <c r="C116" i="3" l="1"/>
  <c r="D115" i="3"/>
  <c r="E115" i="3" s="1"/>
  <c r="F115" i="3" s="1"/>
  <c r="G115" i="3" s="1"/>
  <c r="H117" i="2"/>
  <c r="I116" i="2"/>
  <c r="H118" i="2" l="1"/>
  <c r="I117" i="2"/>
  <c r="D116" i="3"/>
  <c r="E116" i="3" s="1"/>
  <c r="F116" i="3" s="1"/>
  <c r="G116" i="3" s="1"/>
  <c r="C117" i="3"/>
  <c r="C118" i="3" l="1"/>
  <c r="D117" i="3"/>
  <c r="E117" i="3" s="1"/>
  <c r="F117" i="3" s="1"/>
  <c r="G117" i="3" s="1"/>
  <c r="H119" i="2"/>
  <c r="I118" i="2"/>
  <c r="H120" i="2" l="1"/>
  <c r="I119" i="2"/>
  <c r="D118" i="3"/>
  <c r="E118" i="3" s="1"/>
  <c r="F118" i="3" s="1"/>
  <c r="G118" i="3" s="1"/>
  <c r="C119" i="3"/>
  <c r="D119" i="3" l="1"/>
  <c r="E119" i="3" s="1"/>
  <c r="F119" i="3" s="1"/>
  <c r="G119" i="3" s="1"/>
  <c r="C120" i="3"/>
  <c r="H121" i="2"/>
  <c r="I120" i="2"/>
  <c r="H122" i="2" l="1"/>
  <c r="I121" i="2"/>
  <c r="C121" i="3"/>
  <c r="D120" i="3"/>
  <c r="E120" i="3" s="1"/>
  <c r="F120" i="3" s="1"/>
  <c r="G120" i="3" s="1"/>
  <c r="C122" i="3" l="1"/>
  <c r="D121" i="3"/>
  <c r="E121" i="3" s="1"/>
  <c r="F121" i="3" s="1"/>
  <c r="G121" i="3" s="1"/>
  <c r="H123" i="2"/>
  <c r="I122" i="2"/>
  <c r="H124" i="2" l="1"/>
  <c r="I123" i="2"/>
  <c r="C123" i="3"/>
  <c r="D122" i="3"/>
  <c r="E122" i="3" s="1"/>
  <c r="F122" i="3" s="1"/>
  <c r="G122" i="3" s="1"/>
  <c r="C124" i="3" l="1"/>
  <c r="D123" i="3"/>
  <c r="E123" i="3" s="1"/>
  <c r="F123" i="3" s="1"/>
  <c r="G123" i="3" s="1"/>
  <c r="H125" i="2"/>
  <c r="I124" i="2"/>
  <c r="H126" i="2" l="1"/>
  <c r="I125" i="2"/>
  <c r="D124" i="3"/>
  <c r="E124" i="3" s="1"/>
  <c r="F124" i="3" s="1"/>
  <c r="G124" i="3" s="1"/>
  <c r="C125" i="3"/>
  <c r="D125" i="3" l="1"/>
  <c r="E125" i="3" s="1"/>
  <c r="F125" i="3" s="1"/>
  <c r="G125" i="3" s="1"/>
  <c r="C126" i="3"/>
  <c r="H127" i="2"/>
  <c r="I126" i="2"/>
  <c r="H128" i="2" l="1"/>
  <c r="I127" i="2"/>
  <c r="D126" i="3"/>
  <c r="E126" i="3" s="1"/>
  <c r="F126" i="3" s="1"/>
  <c r="G126" i="3" s="1"/>
  <c r="C127" i="3"/>
  <c r="C128" i="3" l="1"/>
  <c r="D127" i="3"/>
  <c r="E127" i="3" s="1"/>
  <c r="F127" i="3" s="1"/>
  <c r="G127" i="3" s="1"/>
  <c r="H129" i="2"/>
  <c r="I128" i="2"/>
  <c r="H130" i="2" l="1"/>
  <c r="I129" i="2"/>
  <c r="D128" i="3"/>
  <c r="E128" i="3" s="1"/>
  <c r="F128" i="3" s="1"/>
  <c r="G128" i="3" s="1"/>
  <c r="C129" i="3"/>
  <c r="C130" i="3" l="1"/>
  <c r="D129" i="3"/>
  <c r="E129" i="3" s="1"/>
  <c r="F129" i="3" s="1"/>
  <c r="G129" i="3" s="1"/>
  <c r="H131" i="2"/>
  <c r="I130" i="2"/>
  <c r="H132" i="2" l="1"/>
  <c r="I131" i="2"/>
  <c r="C131" i="3"/>
  <c r="D130" i="3"/>
  <c r="E130" i="3" s="1"/>
  <c r="F130" i="3" s="1"/>
  <c r="G130" i="3" s="1"/>
  <c r="D131" i="3" l="1"/>
  <c r="E131" i="3" s="1"/>
  <c r="F131" i="3" s="1"/>
  <c r="G131" i="3" s="1"/>
  <c r="C132" i="3"/>
  <c r="H133" i="2"/>
  <c r="I132" i="2"/>
  <c r="H134" i="2" l="1"/>
  <c r="I133" i="2"/>
  <c r="C133" i="3"/>
  <c r="D132" i="3"/>
  <c r="E132" i="3" s="1"/>
  <c r="F132" i="3" s="1"/>
  <c r="G132" i="3" s="1"/>
  <c r="C134" i="3" l="1"/>
  <c r="D133" i="3"/>
  <c r="E133" i="3" s="1"/>
  <c r="F133" i="3" s="1"/>
  <c r="G133" i="3" s="1"/>
  <c r="H135" i="2"/>
  <c r="I134" i="2"/>
  <c r="H136" i="2" l="1"/>
  <c r="I135" i="2"/>
  <c r="C135" i="3"/>
  <c r="D134" i="3"/>
  <c r="E134" i="3" s="1"/>
  <c r="F134" i="3" s="1"/>
  <c r="G134" i="3" s="1"/>
  <c r="C136" i="3" l="1"/>
  <c r="D135" i="3"/>
  <c r="E135" i="3" s="1"/>
  <c r="F135" i="3" s="1"/>
  <c r="G135" i="3" s="1"/>
  <c r="H137" i="2"/>
  <c r="I136" i="2"/>
  <c r="H138" i="2" l="1"/>
  <c r="I137" i="2"/>
  <c r="C137" i="3"/>
  <c r="D136" i="3"/>
  <c r="E136" i="3" s="1"/>
  <c r="F136" i="3" s="1"/>
  <c r="G136" i="3" s="1"/>
  <c r="D137" i="3" l="1"/>
  <c r="E137" i="3" s="1"/>
  <c r="F137" i="3" s="1"/>
  <c r="G137" i="3" s="1"/>
  <c r="C138" i="3"/>
  <c r="H139" i="2"/>
  <c r="I138" i="2"/>
  <c r="H140" i="2" l="1"/>
  <c r="I139" i="2"/>
  <c r="D138" i="3"/>
  <c r="E138" i="3" s="1"/>
  <c r="F138" i="3" s="1"/>
  <c r="G138" i="3" s="1"/>
  <c r="C139" i="3"/>
  <c r="C140" i="3" l="1"/>
  <c r="D139" i="3"/>
  <c r="E139" i="3" s="1"/>
  <c r="F139" i="3" s="1"/>
  <c r="G139" i="3" s="1"/>
  <c r="H141" i="2"/>
  <c r="I140" i="2"/>
  <c r="H142" i="2" l="1"/>
  <c r="I141" i="2"/>
  <c r="D140" i="3"/>
  <c r="E140" i="3" s="1"/>
  <c r="F140" i="3" s="1"/>
  <c r="G140" i="3" s="1"/>
  <c r="C141" i="3"/>
  <c r="C142" i="3" l="1"/>
  <c r="D141" i="3"/>
  <c r="E141" i="3" s="1"/>
  <c r="F141" i="3" s="1"/>
  <c r="G141" i="3" s="1"/>
  <c r="H143" i="2"/>
  <c r="I142" i="2"/>
  <c r="H144" i="2" l="1"/>
  <c r="I143" i="2"/>
  <c r="C143" i="3"/>
  <c r="D142" i="3"/>
  <c r="E142" i="3" s="1"/>
  <c r="F142" i="3" s="1"/>
  <c r="G142" i="3" s="1"/>
  <c r="D143" i="3" l="1"/>
  <c r="E143" i="3" s="1"/>
  <c r="F143" i="3" s="1"/>
  <c r="G143" i="3" s="1"/>
  <c r="C144" i="3"/>
  <c r="H145" i="2"/>
  <c r="I144" i="2"/>
  <c r="H146" i="2" l="1"/>
  <c r="I145" i="2"/>
  <c r="C145" i="3"/>
  <c r="D144" i="3"/>
  <c r="E144" i="3" s="1"/>
  <c r="F144" i="3" s="1"/>
  <c r="G144" i="3" s="1"/>
  <c r="C146" i="3" l="1"/>
  <c r="D145" i="3"/>
  <c r="E145" i="3" s="1"/>
  <c r="F145" i="3" s="1"/>
  <c r="G145" i="3" s="1"/>
  <c r="H147" i="2"/>
  <c r="I146" i="2"/>
  <c r="H148" i="2" l="1"/>
  <c r="I147" i="2"/>
  <c r="C147" i="3"/>
  <c r="D146" i="3"/>
  <c r="E146" i="3" s="1"/>
  <c r="F146" i="3" s="1"/>
  <c r="G146" i="3" s="1"/>
  <c r="C148" i="3" l="1"/>
  <c r="D147" i="3"/>
  <c r="E147" i="3" s="1"/>
  <c r="F147" i="3" s="1"/>
  <c r="G147" i="3" s="1"/>
  <c r="H149" i="2"/>
  <c r="I148" i="2"/>
  <c r="H150" i="2" l="1"/>
  <c r="I149" i="2"/>
  <c r="C149" i="3"/>
  <c r="D148" i="3"/>
  <c r="E148" i="3" s="1"/>
  <c r="F148" i="3" s="1"/>
  <c r="G148" i="3" s="1"/>
  <c r="D149" i="3" l="1"/>
  <c r="E149" i="3" s="1"/>
  <c r="F149" i="3" s="1"/>
  <c r="G149" i="3" s="1"/>
  <c r="C150" i="3"/>
  <c r="H151" i="2"/>
  <c r="I150" i="2"/>
  <c r="H152" i="2" l="1"/>
  <c r="I151" i="2"/>
  <c r="D150" i="3"/>
  <c r="E150" i="3" s="1"/>
  <c r="F150" i="3" s="1"/>
  <c r="G150" i="3" s="1"/>
  <c r="C151" i="3"/>
  <c r="C152" i="3" l="1"/>
  <c r="D151" i="3"/>
  <c r="E151" i="3" s="1"/>
  <c r="F151" i="3" s="1"/>
  <c r="G151" i="3" s="1"/>
  <c r="H153" i="2"/>
  <c r="I152" i="2"/>
  <c r="H154" i="2" l="1"/>
  <c r="I153" i="2"/>
  <c r="D152" i="3"/>
  <c r="E152" i="3" s="1"/>
  <c r="F152" i="3" s="1"/>
  <c r="G152" i="3" s="1"/>
  <c r="C153" i="3"/>
  <c r="C154" i="3" l="1"/>
  <c r="D153" i="3"/>
  <c r="E153" i="3" s="1"/>
  <c r="F153" i="3" s="1"/>
  <c r="G153" i="3" s="1"/>
  <c r="H155" i="2"/>
  <c r="I154" i="2"/>
  <c r="H156" i="2" l="1"/>
  <c r="I155" i="2"/>
  <c r="C155" i="3"/>
  <c r="D154" i="3"/>
  <c r="E154" i="3" s="1"/>
  <c r="F154" i="3" s="1"/>
  <c r="G154" i="3" s="1"/>
  <c r="D155" i="3" l="1"/>
  <c r="E155" i="3" s="1"/>
  <c r="F155" i="3" s="1"/>
  <c r="G155" i="3" s="1"/>
  <c r="C156" i="3"/>
  <c r="H157" i="2"/>
  <c r="I156" i="2"/>
  <c r="H158" i="2" l="1"/>
  <c r="I157" i="2"/>
  <c r="C157" i="3"/>
  <c r="D156" i="3"/>
  <c r="E156" i="3" s="1"/>
  <c r="F156" i="3" s="1"/>
  <c r="G156" i="3" s="1"/>
  <c r="C158" i="3" l="1"/>
  <c r="D157" i="3"/>
  <c r="E157" i="3" s="1"/>
  <c r="F157" i="3" s="1"/>
  <c r="G157" i="3" s="1"/>
  <c r="H159" i="2"/>
  <c r="I158" i="2"/>
  <c r="H160" i="2" l="1"/>
  <c r="I159" i="2"/>
  <c r="C159" i="3"/>
  <c r="D158" i="3"/>
  <c r="E158" i="3" s="1"/>
  <c r="F158" i="3" s="1"/>
  <c r="G158" i="3" s="1"/>
  <c r="C160" i="3" l="1"/>
  <c r="D159" i="3"/>
  <c r="E159" i="3" s="1"/>
  <c r="F159" i="3" s="1"/>
  <c r="G159" i="3" s="1"/>
  <c r="H161" i="2"/>
  <c r="I160" i="2"/>
  <c r="H162" i="2" l="1"/>
  <c r="I161" i="2"/>
  <c r="C161" i="3"/>
  <c r="D160" i="3"/>
  <c r="E160" i="3" s="1"/>
  <c r="F160" i="3" s="1"/>
  <c r="G160" i="3" s="1"/>
  <c r="D161" i="3" l="1"/>
  <c r="E161" i="3" s="1"/>
  <c r="F161" i="3" s="1"/>
  <c r="G161" i="3" s="1"/>
  <c r="C162" i="3"/>
  <c r="H163" i="2"/>
  <c r="I162" i="2"/>
  <c r="H164" i="2" l="1"/>
  <c r="I163" i="2"/>
  <c r="D162" i="3"/>
  <c r="E162" i="3" s="1"/>
  <c r="F162" i="3" s="1"/>
  <c r="G162" i="3" s="1"/>
  <c r="C163" i="3"/>
  <c r="C164" i="3" l="1"/>
  <c r="D163" i="3"/>
  <c r="E163" i="3" s="1"/>
  <c r="F163" i="3" s="1"/>
  <c r="G163" i="3" s="1"/>
  <c r="H165" i="2"/>
  <c r="I164" i="2"/>
  <c r="H166" i="2" l="1"/>
  <c r="I165" i="2"/>
  <c r="D164" i="3"/>
  <c r="E164" i="3" s="1"/>
  <c r="F164" i="3" s="1"/>
  <c r="G164" i="3" s="1"/>
  <c r="C165" i="3"/>
  <c r="C166" i="3" l="1"/>
  <c r="D165" i="3"/>
  <c r="E165" i="3" s="1"/>
  <c r="F165" i="3" s="1"/>
  <c r="G165" i="3" s="1"/>
  <c r="H167" i="2"/>
  <c r="I166" i="2"/>
  <c r="H168" i="2" l="1"/>
  <c r="I167" i="2"/>
  <c r="C167" i="3"/>
  <c r="D166" i="3"/>
  <c r="E166" i="3" s="1"/>
  <c r="F166" i="3" s="1"/>
  <c r="G166" i="3" s="1"/>
  <c r="D167" i="3" l="1"/>
  <c r="E167" i="3" s="1"/>
  <c r="F167" i="3" s="1"/>
  <c r="G167" i="3" s="1"/>
  <c r="C168" i="3"/>
  <c r="H169" i="2"/>
  <c r="I168" i="2"/>
  <c r="H170" i="2" l="1"/>
  <c r="I169" i="2"/>
  <c r="C169" i="3"/>
  <c r="D168" i="3"/>
  <c r="E168" i="3" s="1"/>
  <c r="F168" i="3" s="1"/>
  <c r="G168" i="3" s="1"/>
  <c r="D169" i="3" l="1"/>
  <c r="E169" i="3" s="1"/>
  <c r="F169" i="3" s="1"/>
  <c r="G169" i="3" s="1"/>
  <c r="C170" i="3"/>
  <c r="H171" i="2"/>
  <c r="I170" i="2"/>
  <c r="H172" i="2" l="1"/>
  <c r="I171" i="2"/>
  <c r="C171" i="3"/>
  <c r="D170" i="3"/>
  <c r="E170" i="3" s="1"/>
  <c r="F170" i="3" s="1"/>
  <c r="G170" i="3" s="1"/>
  <c r="C172" i="3" l="1"/>
  <c r="D171" i="3"/>
  <c r="E171" i="3" s="1"/>
  <c r="F171" i="3" s="1"/>
  <c r="G171" i="3" s="1"/>
  <c r="H173" i="2"/>
  <c r="I172" i="2"/>
  <c r="H174" i="2" l="1"/>
  <c r="I173" i="2"/>
  <c r="C173" i="3"/>
  <c r="D172" i="3"/>
  <c r="E172" i="3" s="1"/>
  <c r="F172" i="3" s="1"/>
  <c r="G172" i="3" s="1"/>
  <c r="C174" i="3" l="1"/>
  <c r="D173" i="3"/>
  <c r="E173" i="3" s="1"/>
  <c r="F173" i="3" s="1"/>
  <c r="G173" i="3" s="1"/>
  <c r="H175" i="2"/>
  <c r="I174" i="2"/>
  <c r="H176" i="2" l="1"/>
  <c r="I175" i="2"/>
  <c r="D174" i="3"/>
  <c r="E174" i="3" s="1"/>
  <c r="F174" i="3" s="1"/>
  <c r="G174" i="3" s="1"/>
  <c r="C175" i="3"/>
  <c r="C176" i="3" l="1"/>
  <c r="D175" i="3"/>
  <c r="E175" i="3" s="1"/>
  <c r="F175" i="3" s="1"/>
  <c r="G175" i="3" s="1"/>
  <c r="H177" i="2"/>
  <c r="I176" i="2"/>
  <c r="H178" i="2" l="1"/>
  <c r="I177" i="2"/>
  <c r="D176" i="3"/>
  <c r="E176" i="3" s="1"/>
  <c r="F176" i="3" s="1"/>
  <c r="G176" i="3" s="1"/>
  <c r="C177" i="3"/>
  <c r="C178" i="3" l="1"/>
  <c r="D177" i="3"/>
  <c r="E177" i="3" s="1"/>
  <c r="F177" i="3" s="1"/>
  <c r="G177" i="3" s="1"/>
  <c r="H179" i="2"/>
  <c r="I178" i="2"/>
  <c r="H180" i="2" l="1"/>
  <c r="I179" i="2"/>
  <c r="C179" i="3"/>
  <c r="D178" i="3"/>
  <c r="E178" i="3" s="1"/>
  <c r="F178" i="3" s="1"/>
  <c r="G178" i="3" s="1"/>
  <c r="D179" i="3" l="1"/>
  <c r="E179" i="3" s="1"/>
  <c r="F179" i="3" s="1"/>
  <c r="G179" i="3" s="1"/>
  <c r="C180" i="3"/>
  <c r="H181" i="2"/>
  <c r="I180" i="2"/>
  <c r="H182" i="2" l="1"/>
  <c r="I181" i="2"/>
  <c r="C181" i="3"/>
  <c r="D180" i="3"/>
  <c r="E180" i="3" s="1"/>
  <c r="F180" i="3" s="1"/>
  <c r="G180" i="3" s="1"/>
  <c r="D181" i="3" l="1"/>
  <c r="E181" i="3" s="1"/>
  <c r="F181" i="3" s="1"/>
  <c r="G181" i="3" s="1"/>
  <c r="C182" i="3"/>
  <c r="H183" i="2"/>
  <c r="I182" i="2"/>
  <c r="H184" i="2" l="1"/>
  <c r="I183" i="2"/>
  <c r="C183" i="3"/>
  <c r="D182" i="3"/>
  <c r="E182" i="3" s="1"/>
  <c r="F182" i="3" s="1"/>
  <c r="G182" i="3" s="1"/>
  <c r="C184" i="3" l="1"/>
  <c r="D183" i="3"/>
  <c r="E183" i="3" s="1"/>
  <c r="F183" i="3" s="1"/>
  <c r="G183" i="3" s="1"/>
  <c r="H185" i="2"/>
  <c r="I184" i="2"/>
  <c r="H186" i="2" l="1"/>
  <c r="I185" i="2"/>
  <c r="C185" i="3"/>
  <c r="D184" i="3"/>
  <c r="E184" i="3" s="1"/>
  <c r="F184" i="3" s="1"/>
  <c r="G184" i="3" s="1"/>
  <c r="C186" i="3" l="1"/>
  <c r="D185" i="3"/>
  <c r="E185" i="3" s="1"/>
  <c r="F185" i="3" s="1"/>
  <c r="G185" i="3" s="1"/>
  <c r="H187" i="2"/>
  <c r="I186" i="2"/>
  <c r="H188" i="2" l="1"/>
  <c r="I187" i="2"/>
  <c r="D186" i="3"/>
  <c r="E186" i="3" s="1"/>
  <c r="F186" i="3" s="1"/>
  <c r="G186" i="3" s="1"/>
  <c r="C187" i="3"/>
  <c r="C188" i="3" l="1"/>
  <c r="D187" i="3"/>
  <c r="E187" i="3" s="1"/>
  <c r="F187" i="3" s="1"/>
  <c r="G187" i="3" s="1"/>
  <c r="H189" i="2"/>
  <c r="I188" i="2"/>
  <c r="H190" i="2" l="1"/>
  <c r="I189" i="2"/>
  <c r="D188" i="3"/>
  <c r="E188" i="3" s="1"/>
  <c r="F188" i="3" s="1"/>
  <c r="G188" i="3" s="1"/>
  <c r="C189" i="3"/>
  <c r="C190" i="3" l="1"/>
  <c r="D189" i="3"/>
  <c r="E189" i="3" s="1"/>
  <c r="F189" i="3" s="1"/>
  <c r="G189" i="3" s="1"/>
  <c r="H191" i="2"/>
  <c r="I190" i="2"/>
  <c r="H192" i="2" l="1"/>
  <c r="I191" i="2"/>
  <c r="C191" i="3"/>
  <c r="D190" i="3"/>
  <c r="E190" i="3" s="1"/>
  <c r="F190" i="3" s="1"/>
  <c r="G190" i="3" s="1"/>
  <c r="D191" i="3" l="1"/>
  <c r="E191" i="3" s="1"/>
  <c r="F191" i="3" s="1"/>
  <c r="G191" i="3" s="1"/>
  <c r="C192" i="3"/>
  <c r="H193" i="2"/>
  <c r="I192" i="2"/>
  <c r="H194" i="2" l="1"/>
  <c r="I193" i="2"/>
  <c r="C193" i="3"/>
  <c r="D192" i="3"/>
  <c r="E192" i="3" s="1"/>
  <c r="F192" i="3" s="1"/>
  <c r="G192" i="3" s="1"/>
  <c r="D193" i="3" l="1"/>
  <c r="E193" i="3" s="1"/>
  <c r="F193" i="3" s="1"/>
  <c r="G193" i="3" s="1"/>
  <c r="C194" i="3"/>
  <c r="H195" i="2"/>
  <c r="I194" i="2"/>
  <c r="H196" i="2" l="1"/>
  <c r="I195" i="2"/>
  <c r="C195" i="3"/>
  <c r="D194" i="3"/>
  <c r="E194" i="3" s="1"/>
  <c r="F194" i="3" s="1"/>
  <c r="G194" i="3" s="1"/>
  <c r="C196" i="3" l="1"/>
  <c r="D195" i="3"/>
  <c r="E195" i="3" s="1"/>
  <c r="F195" i="3" s="1"/>
  <c r="G195" i="3" s="1"/>
  <c r="H197" i="2"/>
  <c r="I196" i="2"/>
  <c r="H198" i="2" l="1"/>
  <c r="I197" i="2"/>
  <c r="C197" i="3"/>
  <c r="D196" i="3"/>
  <c r="E196" i="3" s="1"/>
  <c r="F196" i="3" s="1"/>
  <c r="G196" i="3" s="1"/>
  <c r="C198" i="3" l="1"/>
  <c r="D197" i="3"/>
  <c r="E197" i="3" s="1"/>
  <c r="F197" i="3" s="1"/>
  <c r="G197" i="3" s="1"/>
  <c r="H199" i="2"/>
  <c r="I198" i="2"/>
  <c r="H200" i="2" l="1"/>
  <c r="I199" i="2"/>
  <c r="D198" i="3"/>
  <c r="E198" i="3" s="1"/>
  <c r="F198" i="3" s="1"/>
  <c r="G198" i="3" s="1"/>
  <c r="C199" i="3"/>
  <c r="C200" i="3" l="1"/>
  <c r="D199" i="3"/>
  <c r="E199" i="3" s="1"/>
  <c r="F199" i="3" s="1"/>
  <c r="G199" i="3" s="1"/>
  <c r="H201" i="2"/>
  <c r="I200" i="2"/>
  <c r="H202" i="2" l="1"/>
  <c r="I201" i="2"/>
  <c r="D200" i="3"/>
  <c r="E200" i="3" s="1"/>
  <c r="F200" i="3" s="1"/>
  <c r="G200" i="3" s="1"/>
  <c r="C201" i="3"/>
  <c r="C202" i="3" l="1"/>
  <c r="D201" i="3"/>
  <c r="E201" i="3" s="1"/>
  <c r="F201" i="3" s="1"/>
  <c r="G201" i="3" s="1"/>
  <c r="H203" i="2"/>
  <c r="I202" i="2"/>
  <c r="H204" i="2" l="1"/>
  <c r="I203" i="2"/>
  <c r="C203" i="3"/>
  <c r="D202" i="3"/>
  <c r="E202" i="3" s="1"/>
  <c r="F202" i="3" s="1"/>
  <c r="G202" i="3" s="1"/>
  <c r="D203" i="3" l="1"/>
  <c r="E203" i="3" s="1"/>
  <c r="F203" i="3" s="1"/>
  <c r="G203" i="3" s="1"/>
  <c r="C204" i="3"/>
  <c r="H205" i="2"/>
  <c r="I204" i="2"/>
  <c r="H206" i="2" l="1"/>
  <c r="I205" i="2"/>
  <c r="C205" i="3"/>
  <c r="D204" i="3"/>
  <c r="E204" i="3" s="1"/>
  <c r="F204" i="3" s="1"/>
  <c r="G204" i="3" s="1"/>
  <c r="D205" i="3" l="1"/>
  <c r="E205" i="3" s="1"/>
  <c r="F205" i="3" s="1"/>
  <c r="G205" i="3" s="1"/>
  <c r="C206" i="3"/>
  <c r="H207" i="2"/>
  <c r="I206" i="2"/>
  <c r="H208" i="2" l="1"/>
  <c r="I207" i="2"/>
  <c r="C207" i="3"/>
  <c r="D206" i="3"/>
  <c r="E206" i="3" s="1"/>
  <c r="F206" i="3" s="1"/>
  <c r="G206" i="3" s="1"/>
  <c r="C208" i="3" l="1"/>
  <c r="D207" i="3"/>
  <c r="E207" i="3" s="1"/>
  <c r="F207" i="3" s="1"/>
  <c r="G207" i="3" s="1"/>
  <c r="H209" i="2"/>
  <c r="I208" i="2"/>
  <c r="H210" i="2" l="1"/>
  <c r="I209" i="2"/>
  <c r="C209" i="3"/>
  <c r="D208" i="3"/>
  <c r="E208" i="3" s="1"/>
  <c r="F208" i="3" s="1"/>
  <c r="G208" i="3" s="1"/>
  <c r="C210" i="3" l="1"/>
  <c r="D209" i="3"/>
  <c r="E209" i="3" s="1"/>
  <c r="F209" i="3" s="1"/>
  <c r="G209" i="3" s="1"/>
  <c r="H211" i="2"/>
  <c r="I210" i="2"/>
  <c r="H212" i="2" l="1"/>
  <c r="I211" i="2"/>
  <c r="D210" i="3"/>
  <c r="E210" i="3" s="1"/>
  <c r="F210" i="3" s="1"/>
  <c r="G210" i="3" s="1"/>
  <c r="C211" i="3"/>
  <c r="C212" i="3" l="1"/>
  <c r="D211" i="3"/>
  <c r="E211" i="3" s="1"/>
  <c r="F211" i="3" s="1"/>
  <c r="G211" i="3" s="1"/>
  <c r="H213" i="2"/>
  <c r="I212" i="2"/>
  <c r="H214" i="2" l="1"/>
  <c r="I213" i="2"/>
  <c r="D212" i="3"/>
  <c r="E212" i="3" s="1"/>
  <c r="F212" i="3" s="1"/>
  <c r="G212" i="3" s="1"/>
  <c r="C213" i="3"/>
  <c r="C214" i="3" l="1"/>
  <c r="D213" i="3"/>
  <c r="E213" i="3" s="1"/>
  <c r="F213" i="3" s="1"/>
  <c r="G213" i="3" s="1"/>
  <c r="H215" i="2"/>
  <c r="I214" i="2"/>
  <c r="H216" i="2" l="1"/>
  <c r="I215" i="2"/>
  <c r="C215" i="3"/>
  <c r="D214" i="3"/>
  <c r="E214" i="3" s="1"/>
  <c r="F214" i="3" s="1"/>
  <c r="G214" i="3" s="1"/>
  <c r="D215" i="3" l="1"/>
  <c r="E215" i="3" s="1"/>
  <c r="F215" i="3" s="1"/>
  <c r="G215" i="3" s="1"/>
  <c r="C216" i="3"/>
  <c r="H217" i="2"/>
  <c r="I216" i="2"/>
  <c r="H218" i="2" l="1"/>
  <c r="I217" i="2"/>
  <c r="C217" i="3"/>
  <c r="D216" i="3"/>
  <c r="E216" i="3" s="1"/>
  <c r="F216" i="3" s="1"/>
  <c r="G216" i="3" s="1"/>
  <c r="D217" i="3" l="1"/>
  <c r="E217" i="3" s="1"/>
  <c r="F217" i="3" s="1"/>
  <c r="G217" i="3" s="1"/>
  <c r="C218" i="3"/>
  <c r="H219" i="2"/>
  <c r="I218" i="2"/>
  <c r="H220" i="2" l="1"/>
  <c r="I219" i="2"/>
  <c r="C219" i="3"/>
  <c r="D218" i="3"/>
  <c r="E218" i="3" s="1"/>
  <c r="F218" i="3" s="1"/>
  <c r="G218" i="3" s="1"/>
  <c r="C220" i="3" l="1"/>
  <c r="D219" i="3"/>
  <c r="E219" i="3" s="1"/>
  <c r="F219" i="3" s="1"/>
  <c r="G219" i="3" s="1"/>
  <c r="H221" i="2"/>
  <c r="I220" i="2"/>
  <c r="H222" i="2" l="1"/>
  <c r="I221" i="2"/>
  <c r="C221" i="3"/>
  <c r="D220" i="3"/>
  <c r="E220" i="3" s="1"/>
  <c r="F220" i="3" s="1"/>
  <c r="G220" i="3" s="1"/>
  <c r="C222" i="3" l="1"/>
  <c r="D221" i="3"/>
  <c r="E221" i="3" s="1"/>
  <c r="F221" i="3" s="1"/>
  <c r="G221" i="3" s="1"/>
  <c r="H223" i="2"/>
  <c r="I222" i="2"/>
  <c r="H224" i="2" l="1"/>
  <c r="I223" i="2"/>
  <c r="D222" i="3"/>
  <c r="E222" i="3" s="1"/>
  <c r="F222" i="3" s="1"/>
  <c r="G222" i="3" s="1"/>
  <c r="C223" i="3"/>
  <c r="C224" i="3" l="1"/>
  <c r="D223" i="3"/>
  <c r="E223" i="3" s="1"/>
  <c r="F223" i="3" s="1"/>
  <c r="G223" i="3" s="1"/>
  <c r="H225" i="2"/>
  <c r="I224" i="2"/>
  <c r="H226" i="2" l="1"/>
  <c r="I225" i="2"/>
  <c r="D224" i="3"/>
  <c r="E224" i="3" s="1"/>
  <c r="F224" i="3" s="1"/>
  <c r="G224" i="3" s="1"/>
  <c r="C225" i="3"/>
  <c r="C226" i="3" l="1"/>
  <c r="D225" i="3"/>
  <c r="E225" i="3" s="1"/>
  <c r="F225" i="3" s="1"/>
  <c r="G225" i="3" s="1"/>
  <c r="H227" i="2"/>
  <c r="I226" i="2"/>
  <c r="H228" i="2" l="1"/>
  <c r="I227" i="2"/>
  <c r="C227" i="3"/>
  <c r="D226" i="3"/>
  <c r="E226" i="3" s="1"/>
  <c r="F226" i="3" s="1"/>
  <c r="G226" i="3" s="1"/>
  <c r="D227" i="3" l="1"/>
  <c r="E227" i="3" s="1"/>
  <c r="F227" i="3" s="1"/>
  <c r="G227" i="3" s="1"/>
  <c r="C228" i="3"/>
  <c r="H229" i="2"/>
  <c r="I228" i="2"/>
  <c r="H230" i="2" l="1"/>
  <c r="I229" i="2"/>
  <c r="C229" i="3"/>
  <c r="D228" i="3"/>
  <c r="E228" i="3" s="1"/>
  <c r="F228" i="3" s="1"/>
  <c r="G228" i="3" s="1"/>
  <c r="D229" i="3" l="1"/>
  <c r="E229" i="3" s="1"/>
  <c r="F229" i="3" s="1"/>
  <c r="G229" i="3" s="1"/>
  <c r="C230" i="3"/>
  <c r="H231" i="2"/>
  <c r="I230" i="2"/>
  <c r="H232" i="2" l="1"/>
  <c r="I231" i="2"/>
  <c r="C231" i="3"/>
  <c r="D230" i="3"/>
  <c r="E230" i="3" s="1"/>
  <c r="F230" i="3" s="1"/>
  <c r="G230" i="3" s="1"/>
  <c r="C232" i="3" l="1"/>
  <c r="D231" i="3"/>
  <c r="E231" i="3" s="1"/>
  <c r="F231" i="3" s="1"/>
  <c r="G231" i="3" s="1"/>
  <c r="H233" i="2"/>
  <c r="I232" i="2"/>
  <c r="H234" i="2" l="1"/>
  <c r="I233" i="2"/>
  <c r="C233" i="3"/>
  <c r="D232" i="3"/>
  <c r="E232" i="3" s="1"/>
  <c r="F232" i="3" s="1"/>
  <c r="G232" i="3" s="1"/>
  <c r="C234" i="3" l="1"/>
  <c r="D233" i="3"/>
  <c r="E233" i="3" s="1"/>
  <c r="F233" i="3" s="1"/>
  <c r="G233" i="3" s="1"/>
  <c r="H235" i="2"/>
  <c r="I234" i="2"/>
  <c r="H236" i="2" l="1"/>
  <c r="I235" i="2"/>
  <c r="D234" i="3"/>
  <c r="E234" i="3" s="1"/>
  <c r="F234" i="3" s="1"/>
  <c r="G234" i="3" s="1"/>
  <c r="C235" i="3"/>
  <c r="C236" i="3" l="1"/>
  <c r="D235" i="3"/>
  <c r="E235" i="3" s="1"/>
  <c r="F235" i="3" s="1"/>
  <c r="G235" i="3" s="1"/>
  <c r="H237" i="2"/>
  <c r="I236" i="2"/>
  <c r="H238" i="2" l="1"/>
  <c r="I237" i="2"/>
  <c r="D236" i="3"/>
  <c r="E236" i="3" s="1"/>
  <c r="F236" i="3" s="1"/>
  <c r="G236" i="3" s="1"/>
  <c r="C237" i="3"/>
  <c r="C238" i="3" l="1"/>
  <c r="D237" i="3"/>
  <c r="E237" i="3" s="1"/>
  <c r="F237" i="3" s="1"/>
  <c r="G237" i="3" s="1"/>
  <c r="H239" i="2"/>
  <c r="I238" i="2"/>
  <c r="H240" i="2" l="1"/>
  <c r="I239" i="2"/>
  <c r="C239" i="3"/>
  <c r="D238" i="3"/>
  <c r="E238" i="3" s="1"/>
  <c r="F238" i="3" s="1"/>
  <c r="G238" i="3" s="1"/>
  <c r="D239" i="3" l="1"/>
  <c r="E239" i="3" s="1"/>
  <c r="F239" i="3" s="1"/>
  <c r="G239" i="3" s="1"/>
  <c r="C240" i="3"/>
  <c r="H241" i="2"/>
  <c r="I240" i="2"/>
  <c r="H242" i="2" l="1"/>
  <c r="I241" i="2"/>
  <c r="C241" i="3"/>
  <c r="D240" i="3"/>
  <c r="E240" i="3" s="1"/>
  <c r="F240" i="3" s="1"/>
  <c r="G240" i="3" s="1"/>
  <c r="D241" i="3" l="1"/>
  <c r="E241" i="3" s="1"/>
  <c r="F241" i="3" s="1"/>
  <c r="G241" i="3" s="1"/>
  <c r="C242" i="3"/>
  <c r="H243" i="2"/>
  <c r="I242" i="2"/>
  <c r="H244" i="2" l="1"/>
  <c r="I243" i="2"/>
  <c r="C243" i="3"/>
  <c r="D242" i="3"/>
  <c r="E242" i="3" s="1"/>
  <c r="F242" i="3" s="1"/>
  <c r="G242" i="3" s="1"/>
  <c r="C244" i="3" l="1"/>
  <c r="D243" i="3"/>
  <c r="E243" i="3" s="1"/>
  <c r="F243" i="3" s="1"/>
  <c r="G243" i="3" s="1"/>
  <c r="H245" i="2"/>
  <c r="I244" i="2"/>
  <c r="H246" i="2" l="1"/>
  <c r="I245" i="2"/>
  <c r="C245" i="3"/>
  <c r="D244" i="3"/>
  <c r="E244" i="3" s="1"/>
  <c r="F244" i="3" s="1"/>
  <c r="G244" i="3" s="1"/>
  <c r="C246" i="3" l="1"/>
  <c r="D245" i="3"/>
  <c r="E245" i="3" s="1"/>
  <c r="F245" i="3" s="1"/>
  <c r="G245" i="3" s="1"/>
  <c r="H247" i="2"/>
  <c r="I246" i="2"/>
  <c r="H248" i="2" l="1"/>
  <c r="I247" i="2"/>
  <c r="D246" i="3"/>
  <c r="E246" i="3" s="1"/>
  <c r="F246" i="3" s="1"/>
  <c r="G246" i="3" s="1"/>
  <c r="C247" i="3"/>
  <c r="C248" i="3" l="1"/>
  <c r="D247" i="3"/>
  <c r="E247" i="3" s="1"/>
  <c r="F247" i="3" s="1"/>
  <c r="G247" i="3" s="1"/>
  <c r="H249" i="2"/>
  <c r="I248" i="2"/>
  <c r="H250" i="2" l="1"/>
  <c r="I249" i="2"/>
  <c r="D248" i="3"/>
  <c r="E248" i="3" s="1"/>
  <c r="F248" i="3" s="1"/>
  <c r="G248" i="3" s="1"/>
  <c r="C249" i="3"/>
  <c r="C250" i="3" l="1"/>
  <c r="D249" i="3"/>
  <c r="E249" i="3" s="1"/>
  <c r="F249" i="3" s="1"/>
  <c r="G249" i="3" s="1"/>
  <c r="H251" i="2"/>
  <c r="I250" i="2"/>
  <c r="H252" i="2" l="1"/>
  <c r="I251" i="2"/>
  <c r="C251" i="3"/>
  <c r="D250" i="3"/>
  <c r="E250" i="3" s="1"/>
  <c r="F250" i="3" s="1"/>
  <c r="G250" i="3" s="1"/>
  <c r="D251" i="3" l="1"/>
  <c r="E251" i="3" s="1"/>
  <c r="F251" i="3" s="1"/>
  <c r="G251" i="3" s="1"/>
  <c r="C252" i="3"/>
  <c r="H253" i="2"/>
  <c r="I252" i="2"/>
  <c r="H254" i="2" l="1"/>
  <c r="I253" i="2"/>
  <c r="C253" i="3"/>
  <c r="D252" i="3"/>
  <c r="E252" i="3" s="1"/>
  <c r="F252" i="3" s="1"/>
  <c r="G252" i="3" s="1"/>
  <c r="D253" i="3" l="1"/>
  <c r="E253" i="3" s="1"/>
  <c r="F253" i="3" s="1"/>
  <c r="G253" i="3" s="1"/>
  <c r="C254" i="3"/>
  <c r="H255" i="2"/>
  <c r="I254" i="2"/>
  <c r="H256" i="2" l="1"/>
  <c r="I255" i="2"/>
  <c r="C255" i="3"/>
  <c r="D254" i="3"/>
  <c r="E254" i="3" s="1"/>
  <c r="F254" i="3" s="1"/>
  <c r="G254" i="3" s="1"/>
  <c r="C256" i="3" l="1"/>
  <c r="D255" i="3"/>
  <c r="E255" i="3" s="1"/>
  <c r="F255" i="3" s="1"/>
  <c r="G255" i="3" s="1"/>
  <c r="H257" i="2"/>
  <c r="I256" i="2"/>
  <c r="H258" i="2" l="1"/>
  <c r="I257" i="2"/>
  <c r="C257" i="3"/>
  <c r="D256" i="3"/>
  <c r="E256" i="3" s="1"/>
  <c r="F256" i="3" s="1"/>
  <c r="G256" i="3" s="1"/>
  <c r="C258" i="3" l="1"/>
  <c r="D257" i="3"/>
  <c r="E257" i="3" s="1"/>
  <c r="F257" i="3" s="1"/>
  <c r="G257" i="3" s="1"/>
  <c r="H259" i="2"/>
  <c r="I258" i="2"/>
  <c r="H260" i="2" l="1"/>
  <c r="I259" i="2"/>
  <c r="D258" i="3"/>
  <c r="E258" i="3" s="1"/>
  <c r="F258" i="3" s="1"/>
  <c r="G258" i="3" s="1"/>
  <c r="C259" i="3"/>
  <c r="C260" i="3" l="1"/>
  <c r="D259" i="3"/>
  <c r="E259" i="3" s="1"/>
  <c r="F259" i="3" s="1"/>
  <c r="G259" i="3" s="1"/>
  <c r="H261" i="2"/>
  <c r="I260" i="2"/>
  <c r="H262" i="2" l="1"/>
  <c r="I261" i="2"/>
  <c r="D260" i="3"/>
  <c r="E260" i="3" s="1"/>
  <c r="F260" i="3" s="1"/>
  <c r="G260" i="3" s="1"/>
  <c r="C261" i="3"/>
  <c r="C262" i="3" l="1"/>
  <c r="D261" i="3"/>
  <c r="E261" i="3" s="1"/>
  <c r="F261" i="3" s="1"/>
  <c r="G261" i="3" s="1"/>
  <c r="H263" i="2"/>
  <c r="I262" i="2"/>
  <c r="H264" i="2" l="1"/>
  <c r="I263" i="2"/>
  <c r="C263" i="3"/>
  <c r="D262" i="3"/>
  <c r="E262" i="3" s="1"/>
  <c r="F262" i="3" s="1"/>
  <c r="G262" i="3" s="1"/>
  <c r="D263" i="3" l="1"/>
  <c r="E263" i="3" s="1"/>
  <c r="F263" i="3" s="1"/>
  <c r="G263" i="3" s="1"/>
  <c r="C264" i="3"/>
  <c r="I264" i="2"/>
  <c r="H265" i="2"/>
  <c r="H266" i="2" l="1"/>
  <c r="I265" i="2"/>
  <c r="C265" i="3"/>
  <c r="D264" i="3"/>
  <c r="E264" i="3" s="1"/>
  <c r="F264" i="3" s="1"/>
  <c r="G264" i="3" s="1"/>
  <c r="D265" i="3" l="1"/>
  <c r="E265" i="3" s="1"/>
  <c r="F265" i="3" s="1"/>
  <c r="G265" i="3" s="1"/>
  <c r="C266" i="3"/>
  <c r="I266" i="2"/>
  <c r="H267" i="2"/>
  <c r="H268" i="2" l="1"/>
  <c r="I267" i="2"/>
  <c r="C267" i="3"/>
  <c r="D266" i="3"/>
  <c r="E266" i="3" s="1"/>
  <c r="F266" i="3" s="1"/>
  <c r="G266" i="3" s="1"/>
  <c r="C268" i="3" l="1"/>
  <c r="D267" i="3"/>
  <c r="E267" i="3" s="1"/>
  <c r="F267" i="3" s="1"/>
  <c r="G267" i="3" s="1"/>
  <c r="H269" i="2"/>
  <c r="I268" i="2"/>
  <c r="I269" i="2" l="1"/>
  <c r="H270" i="2"/>
  <c r="C269" i="3"/>
  <c r="D268" i="3"/>
  <c r="E268" i="3" s="1"/>
  <c r="F268" i="3" s="1"/>
  <c r="G268" i="3" s="1"/>
  <c r="C270" i="3" l="1"/>
  <c r="D269" i="3"/>
  <c r="E269" i="3" s="1"/>
  <c r="F269" i="3" s="1"/>
  <c r="G269" i="3" s="1"/>
  <c r="H271" i="2"/>
  <c r="I270" i="2"/>
  <c r="I271" i="2" l="1"/>
  <c r="H272" i="2"/>
  <c r="D270" i="3"/>
  <c r="E270" i="3" s="1"/>
  <c r="F270" i="3" s="1"/>
  <c r="G270" i="3" s="1"/>
  <c r="C271" i="3"/>
  <c r="C272" i="3" l="1"/>
  <c r="D271" i="3"/>
  <c r="E271" i="3" s="1"/>
  <c r="F271" i="3" s="1"/>
  <c r="G271" i="3" s="1"/>
  <c r="H273" i="2"/>
  <c r="I272" i="2"/>
  <c r="H274" i="2" l="1"/>
  <c r="I273" i="2"/>
  <c r="D272" i="3"/>
  <c r="E272" i="3" s="1"/>
  <c r="F272" i="3" s="1"/>
  <c r="G272" i="3" s="1"/>
  <c r="C273" i="3"/>
  <c r="C274" i="3" l="1"/>
  <c r="D273" i="3"/>
  <c r="E273" i="3" s="1"/>
  <c r="F273" i="3" s="1"/>
  <c r="G273" i="3" s="1"/>
  <c r="H275" i="2"/>
  <c r="I274" i="2"/>
  <c r="H276" i="2" l="1"/>
  <c r="I275" i="2"/>
  <c r="C275" i="3"/>
  <c r="D274" i="3"/>
  <c r="E274" i="3" s="1"/>
  <c r="F274" i="3" s="1"/>
  <c r="G274" i="3" s="1"/>
  <c r="D275" i="3" l="1"/>
  <c r="E275" i="3" s="1"/>
  <c r="F275" i="3" s="1"/>
  <c r="G275" i="3" s="1"/>
  <c r="C276" i="3"/>
  <c r="I276" i="2"/>
  <c r="H277" i="2"/>
  <c r="H278" i="2" l="1"/>
  <c r="I277" i="2"/>
  <c r="C277" i="3"/>
  <c r="D276" i="3"/>
  <c r="E276" i="3" s="1"/>
  <c r="F276" i="3" s="1"/>
  <c r="G276" i="3" s="1"/>
  <c r="D277" i="3" l="1"/>
  <c r="E277" i="3" s="1"/>
  <c r="F277" i="3" s="1"/>
  <c r="G277" i="3" s="1"/>
  <c r="C278" i="3"/>
  <c r="I278" i="2"/>
  <c r="H279" i="2"/>
  <c r="H280" i="2" l="1"/>
  <c r="I279" i="2"/>
  <c r="C279" i="3"/>
  <c r="D278" i="3"/>
  <c r="E278" i="3" s="1"/>
  <c r="F278" i="3" s="1"/>
  <c r="G278" i="3" s="1"/>
  <c r="C280" i="3" l="1"/>
  <c r="D279" i="3"/>
  <c r="E279" i="3" s="1"/>
  <c r="F279" i="3" s="1"/>
  <c r="G279" i="3" s="1"/>
  <c r="H281" i="2"/>
  <c r="I280" i="2"/>
  <c r="I281" i="2" l="1"/>
  <c r="H282" i="2"/>
  <c r="C281" i="3"/>
  <c r="D280" i="3"/>
  <c r="E280" i="3" s="1"/>
  <c r="F280" i="3" s="1"/>
  <c r="G280" i="3" s="1"/>
  <c r="H283" i="2" l="1"/>
  <c r="I282" i="2"/>
  <c r="C282" i="3"/>
  <c r="D281" i="3"/>
  <c r="E281" i="3" s="1"/>
  <c r="F281" i="3" s="1"/>
  <c r="G281" i="3" s="1"/>
  <c r="D282" i="3" l="1"/>
  <c r="E282" i="3" s="1"/>
  <c r="F282" i="3" s="1"/>
  <c r="G282" i="3" s="1"/>
  <c r="C283" i="3"/>
  <c r="I283" i="2"/>
  <c r="H284" i="2"/>
  <c r="H285" i="2" l="1"/>
  <c r="I284" i="2"/>
  <c r="C284" i="3"/>
  <c r="D283" i="3"/>
  <c r="E283" i="3" s="1"/>
  <c r="F283" i="3" s="1"/>
  <c r="G283" i="3" s="1"/>
  <c r="D284" i="3" l="1"/>
  <c r="E284" i="3" s="1"/>
  <c r="F284" i="3" s="1"/>
  <c r="G284" i="3" s="1"/>
  <c r="C285" i="3"/>
  <c r="H286" i="2"/>
  <c r="I285" i="2"/>
  <c r="H287" i="2" l="1"/>
  <c r="I286" i="2"/>
  <c r="C286" i="3"/>
  <c r="D285" i="3"/>
  <c r="E285" i="3" s="1"/>
  <c r="F285" i="3" s="1"/>
  <c r="G285" i="3" s="1"/>
  <c r="C287" i="3" l="1"/>
  <c r="D286" i="3"/>
  <c r="E286" i="3" s="1"/>
  <c r="F286" i="3" s="1"/>
  <c r="G286" i="3" s="1"/>
  <c r="H288" i="2"/>
  <c r="I287" i="2"/>
  <c r="I288" i="2" l="1"/>
  <c r="H289" i="2"/>
  <c r="D287" i="3"/>
  <c r="E287" i="3" s="1"/>
  <c r="F287" i="3" s="1"/>
  <c r="G287" i="3" s="1"/>
  <c r="C288" i="3"/>
  <c r="C289" i="3" l="1"/>
  <c r="D288" i="3"/>
  <c r="E288" i="3" s="1"/>
  <c r="F288" i="3" s="1"/>
  <c r="G288" i="3" s="1"/>
  <c r="H290" i="2"/>
  <c r="I289" i="2"/>
  <c r="I290" i="2" l="1"/>
  <c r="H291" i="2"/>
  <c r="D289" i="3"/>
  <c r="E289" i="3" s="1"/>
  <c r="F289" i="3" s="1"/>
  <c r="G289" i="3" s="1"/>
  <c r="C290" i="3"/>
  <c r="H292" i="2" l="1"/>
  <c r="I291" i="2"/>
  <c r="C291" i="3"/>
  <c r="D290" i="3"/>
  <c r="E290" i="3" s="1"/>
  <c r="F290" i="3" s="1"/>
  <c r="G290" i="3" s="1"/>
  <c r="C292" i="3" l="1"/>
  <c r="D291" i="3"/>
  <c r="E291" i="3" s="1"/>
  <c r="F291" i="3" s="1"/>
  <c r="G291" i="3" s="1"/>
  <c r="H293" i="2"/>
  <c r="I292" i="2"/>
  <c r="I293" i="2" l="1"/>
  <c r="H294" i="2"/>
  <c r="C293" i="3"/>
  <c r="D292" i="3"/>
  <c r="E292" i="3" s="1"/>
  <c r="F292" i="3" s="1"/>
  <c r="G292" i="3" s="1"/>
  <c r="H295" i="2" l="1"/>
  <c r="I294" i="2"/>
  <c r="C294" i="3"/>
  <c r="D293" i="3"/>
  <c r="E293" i="3" s="1"/>
  <c r="F293" i="3" s="1"/>
  <c r="G293" i="3" s="1"/>
  <c r="D294" i="3" l="1"/>
  <c r="E294" i="3" s="1"/>
  <c r="F294" i="3" s="1"/>
  <c r="G294" i="3" s="1"/>
  <c r="C295" i="3"/>
  <c r="I295" i="2"/>
  <c r="H296" i="2"/>
  <c r="H297" i="2" l="1"/>
  <c r="I296" i="2"/>
  <c r="C296" i="3"/>
  <c r="D295" i="3"/>
  <c r="E295" i="3" s="1"/>
  <c r="F295" i="3" s="1"/>
  <c r="G295" i="3" s="1"/>
  <c r="D296" i="3" l="1"/>
  <c r="E296" i="3" s="1"/>
  <c r="F296" i="3" s="1"/>
  <c r="G296" i="3" s="1"/>
  <c r="C297" i="3"/>
  <c r="H298" i="2"/>
  <c r="I297" i="2"/>
  <c r="H299" i="2" l="1"/>
  <c r="I298" i="2"/>
  <c r="C298" i="3"/>
  <c r="D297" i="3"/>
  <c r="E297" i="3" s="1"/>
  <c r="F297" i="3" s="1"/>
  <c r="G297" i="3" s="1"/>
  <c r="C299" i="3" l="1"/>
  <c r="D298" i="3"/>
  <c r="E298" i="3" s="1"/>
  <c r="F298" i="3" s="1"/>
  <c r="G298" i="3" s="1"/>
  <c r="H300" i="2"/>
  <c r="I299" i="2"/>
  <c r="I300" i="2" l="1"/>
  <c r="H301" i="2"/>
  <c r="C300" i="3"/>
  <c r="D299" i="3"/>
  <c r="E299" i="3" s="1"/>
  <c r="F299" i="3" s="1"/>
  <c r="G299" i="3" s="1"/>
  <c r="H302" i="2" l="1"/>
  <c r="I301" i="2"/>
  <c r="C301" i="3"/>
  <c r="D300" i="3"/>
  <c r="E300" i="3" s="1"/>
  <c r="F300" i="3" s="1"/>
  <c r="G300" i="3" s="1"/>
  <c r="D301" i="3" l="1"/>
  <c r="E301" i="3" s="1"/>
  <c r="F301" i="3" s="1"/>
  <c r="G301" i="3" s="1"/>
  <c r="C302" i="3"/>
  <c r="I302" i="2"/>
  <c r="H303" i="2"/>
  <c r="H304" i="2" l="1"/>
  <c r="I303" i="2"/>
  <c r="C303" i="3"/>
  <c r="D302" i="3"/>
  <c r="E302" i="3" s="1"/>
  <c r="F302" i="3" s="1"/>
  <c r="G302" i="3" s="1"/>
  <c r="I504" i="2" l="1"/>
  <c r="C15" i="1" s="1"/>
  <c r="I507" i="2"/>
  <c r="C18" i="1" s="1"/>
  <c r="I506" i="2"/>
  <c r="C17" i="1" s="1"/>
  <c r="I505" i="2"/>
  <c r="C16" i="1" s="1"/>
  <c r="D303" i="3"/>
  <c r="E303" i="3" s="1"/>
  <c r="F303" i="3" s="1"/>
  <c r="G303" i="3" s="1"/>
  <c r="C304" i="3"/>
  <c r="H305" i="2"/>
  <c r="I304" i="2"/>
  <c r="I305" i="2" l="1"/>
  <c r="H306" i="2"/>
  <c r="C305" i="3"/>
  <c r="D304" i="3"/>
  <c r="E304" i="3" s="1"/>
  <c r="F304" i="3" s="1"/>
  <c r="G304" i="3" s="1"/>
  <c r="H307" i="2" l="1"/>
  <c r="I306" i="2"/>
  <c r="C306" i="3"/>
  <c r="D305" i="3"/>
  <c r="E305" i="3" s="1"/>
  <c r="F305" i="3" s="1"/>
  <c r="G305" i="3" s="1"/>
  <c r="C307" i="3" l="1"/>
  <c r="D306" i="3"/>
  <c r="E306" i="3" s="1"/>
  <c r="F306" i="3" s="1"/>
  <c r="G306" i="3" s="1"/>
  <c r="H308" i="2"/>
  <c r="I307" i="2"/>
  <c r="H309" i="2" l="1"/>
  <c r="I308" i="2"/>
  <c r="C308" i="3"/>
  <c r="D307" i="3"/>
  <c r="E307" i="3" s="1"/>
  <c r="F307" i="3" s="1"/>
  <c r="G307" i="3" s="1"/>
  <c r="D308" i="3" l="1"/>
  <c r="E308" i="3" s="1"/>
  <c r="F308" i="3" s="1"/>
  <c r="G308" i="3" s="1"/>
  <c r="C309" i="3"/>
  <c r="H310" i="2"/>
  <c r="I309" i="2"/>
  <c r="H311" i="2" l="1"/>
  <c r="I310" i="2"/>
  <c r="C310" i="3"/>
  <c r="D309" i="3"/>
  <c r="E309" i="3" s="1"/>
  <c r="F309" i="3" s="1"/>
  <c r="G309" i="3" s="1"/>
  <c r="D310" i="3" l="1"/>
  <c r="E310" i="3" s="1"/>
  <c r="F310" i="3" s="1"/>
  <c r="G310" i="3" s="1"/>
  <c r="C311" i="3"/>
  <c r="H312" i="2"/>
  <c r="I311" i="2"/>
  <c r="H313" i="2" l="1"/>
  <c r="I312" i="2"/>
  <c r="C312" i="3"/>
  <c r="D311" i="3"/>
  <c r="E311" i="3" s="1"/>
  <c r="F311" i="3" s="1"/>
  <c r="G311" i="3" s="1"/>
  <c r="C313" i="3" l="1"/>
  <c r="D312" i="3"/>
  <c r="E312" i="3" s="1"/>
  <c r="F312" i="3" s="1"/>
  <c r="G312" i="3" s="1"/>
  <c r="H314" i="2"/>
  <c r="I313" i="2"/>
  <c r="H315" i="2" l="1"/>
  <c r="I314" i="2"/>
  <c r="D313" i="3"/>
  <c r="E313" i="3" s="1"/>
  <c r="F313" i="3" s="1"/>
  <c r="G313" i="3" s="1"/>
  <c r="C314" i="3"/>
  <c r="C315" i="3" l="1"/>
  <c r="D314" i="3"/>
  <c r="E314" i="3" s="1"/>
  <c r="F314" i="3" s="1"/>
  <c r="G314" i="3" s="1"/>
  <c r="H316" i="2"/>
  <c r="I315" i="2"/>
  <c r="H317" i="2" l="1"/>
  <c r="I316" i="2"/>
  <c r="D315" i="3"/>
  <c r="E315" i="3" s="1"/>
  <c r="F315" i="3" s="1"/>
  <c r="G315" i="3" s="1"/>
  <c r="C316" i="3"/>
  <c r="C317" i="3" l="1"/>
  <c r="D316" i="3"/>
  <c r="E316" i="3" s="1"/>
  <c r="F316" i="3" s="1"/>
  <c r="G316" i="3" s="1"/>
  <c r="H318" i="2"/>
  <c r="I317" i="2"/>
  <c r="H319" i="2" l="1"/>
  <c r="I318" i="2"/>
  <c r="C318" i="3"/>
  <c r="D317" i="3"/>
  <c r="E317" i="3" s="1"/>
  <c r="F317" i="3" s="1"/>
  <c r="G317" i="3" s="1"/>
  <c r="C319" i="3" l="1"/>
  <c r="D318" i="3"/>
  <c r="E318" i="3" s="1"/>
  <c r="F318" i="3" s="1"/>
  <c r="G318" i="3" s="1"/>
  <c r="H320" i="2"/>
  <c r="I319" i="2"/>
  <c r="H321" i="2" l="1"/>
  <c r="I320" i="2"/>
  <c r="C320" i="3"/>
  <c r="D319" i="3"/>
  <c r="E319" i="3" s="1"/>
  <c r="F319" i="3" s="1"/>
  <c r="G319" i="3" s="1"/>
  <c r="D320" i="3" l="1"/>
  <c r="E320" i="3" s="1"/>
  <c r="F320" i="3" s="1"/>
  <c r="G320" i="3" s="1"/>
  <c r="C321" i="3"/>
  <c r="H322" i="2"/>
  <c r="I321" i="2"/>
  <c r="H323" i="2" l="1"/>
  <c r="I322" i="2"/>
  <c r="C322" i="3"/>
  <c r="D321" i="3"/>
  <c r="E321" i="3" s="1"/>
  <c r="F321" i="3" s="1"/>
  <c r="G321" i="3" s="1"/>
  <c r="D322" i="3" l="1"/>
  <c r="E322" i="3" s="1"/>
  <c r="F322" i="3" s="1"/>
  <c r="G322" i="3" s="1"/>
  <c r="C323" i="3"/>
  <c r="H324" i="2"/>
  <c r="I323" i="2"/>
  <c r="H325" i="2" l="1"/>
  <c r="I324" i="2"/>
  <c r="C324" i="3"/>
  <c r="D323" i="3"/>
  <c r="E323" i="3" s="1"/>
  <c r="F323" i="3" s="1"/>
  <c r="G323" i="3" s="1"/>
  <c r="C325" i="3" l="1"/>
  <c r="D324" i="3"/>
  <c r="E324" i="3" s="1"/>
  <c r="F324" i="3" s="1"/>
  <c r="G324" i="3" s="1"/>
  <c r="H326" i="2"/>
  <c r="I325" i="2"/>
  <c r="H327" i="2" l="1"/>
  <c r="I326" i="2"/>
  <c r="D325" i="3"/>
  <c r="E325" i="3" s="1"/>
  <c r="F325" i="3" s="1"/>
  <c r="G325" i="3" s="1"/>
  <c r="C326" i="3"/>
  <c r="C327" i="3" l="1"/>
  <c r="D326" i="3"/>
  <c r="E326" i="3" s="1"/>
  <c r="F326" i="3" s="1"/>
  <c r="G326" i="3" s="1"/>
  <c r="H328" i="2"/>
  <c r="I327" i="2"/>
  <c r="H329" i="2" l="1"/>
  <c r="I328" i="2"/>
  <c r="D327" i="3"/>
  <c r="E327" i="3" s="1"/>
  <c r="F327" i="3" s="1"/>
  <c r="G327" i="3" s="1"/>
  <c r="C328" i="3"/>
  <c r="C329" i="3" l="1"/>
  <c r="D328" i="3"/>
  <c r="E328" i="3" s="1"/>
  <c r="F328" i="3" s="1"/>
  <c r="G328" i="3" s="1"/>
  <c r="H330" i="2"/>
  <c r="I329" i="2"/>
  <c r="H331" i="2" l="1"/>
  <c r="I330" i="2"/>
  <c r="C330" i="3"/>
  <c r="D329" i="3"/>
  <c r="E329" i="3" s="1"/>
  <c r="F329" i="3" s="1"/>
  <c r="G329" i="3" s="1"/>
  <c r="C331" i="3" l="1"/>
  <c r="D330" i="3"/>
  <c r="E330" i="3" s="1"/>
  <c r="F330" i="3" s="1"/>
  <c r="G330" i="3" s="1"/>
  <c r="I331" i="2"/>
  <c r="H332" i="2"/>
  <c r="H333" i="2" l="1"/>
  <c r="I332" i="2"/>
  <c r="C332" i="3"/>
  <c r="D331" i="3"/>
  <c r="E331" i="3" s="1"/>
  <c r="F331" i="3" s="1"/>
  <c r="G331" i="3" s="1"/>
  <c r="D332" i="3" l="1"/>
  <c r="E332" i="3" s="1"/>
  <c r="F332" i="3" s="1"/>
  <c r="G332" i="3" s="1"/>
  <c r="C333" i="3"/>
  <c r="I333" i="2"/>
  <c r="H334" i="2"/>
  <c r="H335" i="2" l="1"/>
  <c r="I334" i="2"/>
  <c r="C334" i="3"/>
  <c r="D333" i="3"/>
  <c r="E333" i="3" s="1"/>
  <c r="F333" i="3" s="1"/>
  <c r="G333" i="3" s="1"/>
  <c r="D334" i="3" l="1"/>
  <c r="E334" i="3" s="1"/>
  <c r="F334" i="3" s="1"/>
  <c r="G334" i="3" s="1"/>
  <c r="C335" i="3"/>
  <c r="I335" i="2"/>
  <c r="H336" i="2"/>
  <c r="H337" i="2" l="1"/>
  <c r="I336" i="2"/>
  <c r="C336" i="3"/>
  <c r="D335" i="3"/>
  <c r="E335" i="3" s="1"/>
  <c r="F335" i="3" s="1"/>
  <c r="G335" i="3" s="1"/>
  <c r="C337" i="3" l="1"/>
  <c r="D336" i="3"/>
  <c r="E336" i="3" s="1"/>
  <c r="F336" i="3" s="1"/>
  <c r="G336" i="3" s="1"/>
  <c r="I337" i="2"/>
  <c r="H338" i="2"/>
  <c r="H339" i="2" l="1"/>
  <c r="I338" i="2"/>
  <c r="D337" i="3"/>
  <c r="E337" i="3" s="1"/>
  <c r="F337" i="3" s="1"/>
  <c r="G337" i="3" s="1"/>
  <c r="C338" i="3"/>
  <c r="C339" i="3" l="1"/>
  <c r="D338" i="3"/>
  <c r="E338" i="3" s="1"/>
  <c r="F338" i="3" s="1"/>
  <c r="G338" i="3" s="1"/>
  <c r="I339" i="2"/>
  <c r="H340" i="2"/>
  <c r="H341" i="2" l="1"/>
  <c r="I340" i="2"/>
  <c r="D339" i="3"/>
  <c r="E339" i="3" s="1"/>
  <c r="F339" i="3" s="1"/>
  <c r="G339" i="3" s="1"/>
  <c r="C340" i="3"/>
  <c r="C341" i="3" l="1"/>
  <c r="D340" i="3"/>
  <c r="E340" i="3" s="1"/>
  <c r="F340" i="3" s="1"/>
  <c r="G340" i="3" s="1"/>
  <c r="I341" i="2"/>
  <c r="H342" i="2"/>
  <c r="H343" i="2" l="1"/>
  <c r="I342" i="2"/>
  <c r="C342" i="3"/>
  <c r="D341" i="3"/>
  <c r="E341" i="3" s="1"/>
  <c r="F341" i="3" s="1"/>
  <c r="G341" i="3" s="1"/>
  <c r="C343" i="3" l="1"/>
  <c r="D342" i="3"/>
  <c r="E342" i="3" s="1"/>
  <c r="F342" i="3" s="1"/>
  <c r="G342" i="3" s="1"/>
  <c r="I343" i="2"/>
  <c r="H344" i="2"/>
  <c r="H345" i="2" l="1"/>
  <c r="I344" i="2"/>
  <c r="C344" i="3"/>
  <c r="D343" i="3"/>
  <c r="E343" i="3" s="1"/>
  <c r="F343" i="3" s="1"/>
  <c r="G343" i="3" s="1"/>
  <c r="D344" i="3" l="1"/>
  <c r="E344" i="3" s="1"/>
  <c r="F344" i="3" s="1"/>
  <c r="G344" i="3" s="1"/>
  <c r="C345" i="3"/>
  <c r="I345" i="2"/>
  <c r="H346" i="2"/>
  <c r="H347" i="2" l="1"/>
  <c r="I346" i="2"/>
  <c r="C346" i="3"/>
  <c r="D345" i="3"/>
  <c r="E345" i="3" s="1"/>
  <c r="F345" i="3" s="1"/>
  <c r="G345" i="3" s="1"/>
  <c r="D346" i="3" l="1"/>
  <c r="E346" i="3" s="1"/>
  <c r="F346" i="3" s="1"/>
  <c r="G346" i="3" s="1"/>
  <c r="C347" i="3"/>
  <c r="I347" i="2"/>
  <c r="H348" i="2"/>
  <c r="H349" i="2" l="1"/>
  <c r="I348" i="2"/>
  <c r="C348" i="3"/>
  <c r="D347" i="3"/>
  <c r="E347" i="3" s="1"/>
  <c r="F347" i="3" s="1"/>
  <c r="G347" i="3" s="1"/>
  <c r="C349" i="3" l="1"/>
  <c r="D348" i="3"/>
  <c r="E348" i="3" s="1"/>
  <c r="F348" i="3" s="1"/>
  <c r="G348" i="3" s="1"/>
  <c r="I349" i="2"/>
  <c r="H350" i="2"/>
  <c r="H351" i="2" l="1"/>
  <c r="I350" i="2"/>
  <c r="D349" i="3"/>
  <c r="E349" i="3" s="1"/>
  <c r="F349" i="3" s="1"/>
  <c r="G349" i="3" s="1"/>
  <c r="C350" i="3"/>
  <c r="C351" i="3" l="1"/>
  <c r="D350" i="3"/>
  <c r="E350" i="3" s="1"/>
  <c r="F350" i="3" s="1"/>
  <c r="G350" i="3" s="1"/>
  <c r="I351" i="2"/>
  <c r="H352" i="2"/>
  <c r="H353" i="2" l="1"/>
  <c r="I352" i="2"/>
  <c r="D351" i="3"/>
  <c r="E351" i="3" s="1"/>
  <c r="F351" i="3" s="1"/>
  <c r="G351" i="3" s="1"/>
  <c r="C352" i="3"/>
  <c r="C353" i="3" l="1"/>
  <c r="D352" i="3"/>
  <c r="E352" i="3" s="1"/>
  <c r="F352" i="3" s="1"/>
  <c r="G352" i="3" s="1"/>
  <c r="I353" i="2"/>
  <c r="H354" i="2"/>
  <c r="H355" i="2" l="1"/>
  <c r="I354" i="2"/>
  <c r="C354" i="3"/>
  <c r="D353" i="3"/>
  <c r="E353" i="3" s="1"/>
  <c r="F353" i="3" s="1"/>
  <c r="G353" i="3" s="1"/>
  <c r="C355" i="3" l="1"/>
  <c r="D354" i="3"/>
  <c r="E354" i="3" s="1"/>
  <c r="F354" i="3" s="1"/>
  <c r="G354" i="3" s="1"/>
  <c r="I355" i="2"/>
  <c r="H356" i="2"/>
  <c r="H357" i="2" l="1"/>
  <c r="I356" i="2"/>
  <c r="C356" i="3"/>
  <c r="D355" i="3"/>
  <c r="E355" i="3" s="1"/>
  <c r="F355" i="3" s="1"/>
  <c r="G355" i="3" s="1"/>
  <c r="D356" i="3" l="1"/>
  <c r="E356" i="3" s="1"/>
  <c r="F356" i="3" s="1"/>
  <c r="G356" i="3" s="1"/>
  <c r="C357" i="3"/>
  <c r="I357" i="2"/>
  <c r="H358" i="2"/>
  <c r="H359" i="2" l="1"/>
  <c r="I358" i="2"/>
  <c r="C358" i="3"/>
  <c r="D357" i="3"/>
  <c r="E357" i="3" s="1"/>
  <c r="F357" i="3" s="1"/>
  <c r="G357" i="3" s="1"/>
  <c r="D358" i="3" l="1"/>
  <c r="E358" i="3" s="1"/>
  <c r="F358" i="3" s="1"/>
  <c r="G358" i="3" s="1"/>
  <c r="C359" i="3"/>
  <c r="I359" i="2"/>
  <c r="H360" i="2"/>
  <c r="H361" i="2" l="1"/>
  <c r="I360" i="2"/>
  <c r="C360" i="3"/>
  <c r="D359" i="3"/>
  <c r="E359" i="3" s="1"/>
  <c r="F359" i="3" s="1"/>
  <c r="G359" i="3" s="1"/>
  <c r="C361" i="3" l="1"/>
  <c r="D360" i="3"/>
  <c r="E360" i="3" s="1"/>
  <c r="F360" i="3" s="1"/>
  <c r="G360" i="3" s="1"/>
  <c r="I361" i="2"/>
  <c r="H362" i="2"/>
  <c r="H363" i="2" l="1"/>
  <c r="I362" i="2"/>
  <c r="D361" i="3"/>
  <c r="E361" i="3" s="1"/>
  <c r="F361" i="3" s="1"/>
  <c r="G361" i="3" s="1"/>
  <c r="C362" i="3"/>
  <c r="C363" i="3" l="1"/>
  <c r="D362" i="3"/>
  <c r="E362" i="3" s="1"/>
  <c r="F362" i="3" s="1"/>
  <c r="G362" i="3" s="1"/>
  <c r="I363" i="2"/>
  <c r="H364" i="2"/>
  <c r="H365" i="2" l="1"/>
  <c r="I364" i="2"/>
  <c r="D363" i="3"/>
  <c r="E363" i="3" s="1"/>
  <c r="F363" i="3" s="1"/>
  <c r="G363" i="3" s="1"/>
  <c r="C364" i="3"/>
  <c r="C365" i="3" l="1"/>
  <c r="D364" i="3"/>
  <c r="E364" i="3" s="1"/>
  <c r="F364" i="3" s="1"/>
  <c r="G364" i="3" s="1"/>
  <c r="I365" i="2"/>
  <c r="H366" i="2"/>
  <c r="H367" i="2" l="1"/>
  <c r="I366" i="2"/>
  <c r="C366" i="3"/>
  <c r="D365" i="3"/>
  <c r="E365" i="3" s="1"/>
  <c r="F365" i="3" s="1"/>
  <c r="G365" i="3" s="1"/>
  <c r="C367" i="3" l="1"/>
  <c r="D366" i="3"/>
  <c r="E366" i="3" s="1"/>
  <c r="F366" i="3" s="1"/>
  <c r="G366" i="3" s="1"/>
  <c r="I367" i="2"/>
  <c r="H368" i="2"/>
  <c r="H369" i="2" l="1"/>
  <c r="I368" i="2"/>
  <c r="C368" i="3"/>
  <c r="D367" i="3"/>
  <c r="E367" i="3" s="1"/>
  <c r="F367" i="3" s="1"/>
  <c r="G367" i="3" s="1"/>
  <c r="D368" i="3" l="1"/>
  <c r="E368" i="3" s="1"/>
  <c r="F368" i="3" s="1"/>
  <c r="G368" i="3" s="1"/>
  <c r="C369" i="3"/>
  <c r="I369" i="2"/>
  <c r="H370" i="2"/>
  <c r="H371" i="2" l="1"/>
  <c r="I370" i="2"/>
  <c r="C370" i="3"/>
  <c r="D369" i="3"/>
  <c r="E369" i="3" s="1"/>
  <c r="F369" i="3" s="1"/>
  <c r="G369" i="3" s="1"/>
  <c r="D370" i="3" l="1"/>
  <c r="E370" i="3" s="1"/>
  <c r="F370" i="3" s="1"/>
  <c r="G370" i="3" s="1"/>
  <c r="C371" i="3"/>
  <c r="I371" i="2"/>
  <c r="H372" i="2"/>
  <c r="H373" i="2" l="1"/>
  <c r="I372" i="2"/>
  <c r="C372" i="3"/>
  <c r="D371" i="3"/>
  <c r="E371" i="3" s="1"/>
  <c r="F371" i="3" s="1"/>
  <c r="G371" i="3" s="1"/>
  <c r="C373" i="3" l="1"/>
  <c r="D372" i="3"/>
  <c r="E372" i="3" s="1"/>
  <c r="F372" i="3" s="1"/>
  <c r="G372" i="3" s="1"/>
  <c r="I373" i="2"/>
  <c r="H374" i="2"/>
  <c r="H375" i="2" l="1"/>
  <c r="I374" i="2"/>
  <c r="D373" i="3"/>
  <c r="E373" i="3" s="1"/>
  <c r="F373" i="3" s="1"/>
  <c r="G373" i="3" s="1"/>
  <c r="C374" i="3"/>
  <c r="C375" i="3" l="1"/>
  <c r="D374" i="3"/>
  <c r="E374" i="3" s="1"/>
  <c r="F374" i="3" s="1"/>
  <c r="G374" i="3" s="1"/>
  <c r="I375" i="2"/>
  <c r="H376" i="2"/>
  <c r="H377" i="2" l="1"/>
  <c r="I376" i="2"/>
  <c r="D375" i="3"/>
  <c r="E375" i="3" s="1"/>
  <c r="F375" i="3" s="1"/>
  <c r="G375" i="3" s="1"/>
  <c r="C376" i="3"/>
  <c r="C377" i="3" l="1"/>
  <c r="D376" i="3"/>
  <c r="E376" i="3" s="1"/>
  <c r="F376" i="3" s="1"/>
  <c r="G376" i="3" s="1"/>
  <c r="I377" i="2"/>
  <c r="H378" i="2"/>
  <c r="H379" i="2" l="1"/>
  <c r="I378" i="2"/>
  <c r="C378" i="3"/>
  <c r="D377" i="3"/>
  <c r="E377" i="3" s="1"/>
  <c r="F377" i="3" s="1"/>
  <c r="G377" i="3" s="1"/>
  <c r="C379" i="3" l="1"/>
  <c r="D378" i="3"/>
  <c r="E378" i="3" s="1"/>
  <c r="F378" i="3" s="1"/>
  <c r="G378" i="3" s="1"/>
  <c r="I379" i="2"/>
  <c r="H380" i="2"/>
  <c r="H381" i="2" l="1"/>
  <c r="I380" i="2"/>
  <c r="C380" i="3"/>
  <c r="D379" i="3"/>
  <c r="E379" i="3" s="1"/>
  <c r="F379" i="3" s="1"/>
  <c r="G379" i="3" s="1"/>
  <c r="D380" i="3" l="1"/>
  <c r="E380" i="3" s="1"/>
  <c r="F380" i="3" s="1"/>
  <c r="G380" i="3" s="1"/>
  <c r="C381" i="3"/>
  <c r="I381" i="2"/>
  <c r="H382" i="2"/>
  <c r="H383" i="2" l="1"/>
  <c r="I382" i="2"/>
  <c r="C382" i="3"/>
  <c r="D381" i="3"/>
  <c r="E381" i="3" s="1"/>
  <c r="F381" i="3" s="1"/>
  <c r="G381" i="3" s="1"/>
  <c r="D382" i="3" l="1"/>
  <c r="E382" i="3" s="1"/>
  <c r="F382" i="3" s="1"/>
  <c r="G382" i="3" s="1"/>
  <c r="C383" i="3"/>
  <c r="I383" i="2"/>
  <c r="H384" i="2"/>
  <c r="H385" i="2" l="1"/>
  <c r="I384" i="2"/>
  <c r="C384" i="3"/>
  <c r="D383" i="3"/>
  <c r="E383" i="3" s="1"/>
  <c r="F383" i="3" s="1"/>
  <c r="G383" i="3" s="1"/>
  <c r="C385" i="3" l="1"/>
  <c r="D384" i="3"/>
  <c r="E384" i="3" s="1"/>
  <c r="F384" i="3" s="1"/>
  <c r="G384" i="3" s="1"/>
  <c r="I385" i="2"/>
  <c r="H386" i="2"/>
  <c r="H387" i="2" l="1"/>
  <c r="I386" i="2"/>
  <c r="D385" i="3"/>
  <c r="E385" i="3" s="1"/>
  <c r="F385" i="3" s="1"/>
  <c r="G385" i="3" s="1"/>
  <c r="C386" i="3"/>
  <c r="C387" i="3" l="1"/>
  <c r="D386" i="3"/>
  <c r="E386" i="3" s="1"/>
  <c r="F386" i="3" s="1"/>
  <c r="G386" i="3" s="1"/>
  <c r="I387" i="2"/>
  <c r="H388" i="2"/>
  <c r="H389" i="2" l="1"/>
  <c r="I388" i="2"/>
  <c r="D387" i="3"/>
  <c r="E387" i="3" s="1"/>
  <c r="F387" i="3" s="1"/>
  <c r="G387" i="3" s="1"/>
  <c r="C388" i="3"/>
  <c r="C389" i="3" l="1"/>
  <c r="D388" i="3"/>
  <c r="E388" i="3" s="1"/>
  <c r="F388" i="3" s="1"/>
  <c r="G388" i="3" s="1"/>
  <c r="I389" i="2"/>
  <c r="H390" i="2"/>
  <c r="H391" i="2" l="1"/>
  <c r="I390" i="2"/>
  <c r="C390" i="3"/>
  <c r="D389" i="3"/>
  <c r="E389" i="3" s="1"/>
  <c r="F389" i="3" s="1"/>
  <c r="G389" i="3" s="1"/>
  <c r="C391" i="3" l="1"/>
  <c r="D390" i="3"/>
  <c r="E390" i="3" s="1"/>
  <c r="F390" i="3" s="1"/>
  <c r="G390" i="3" s="1"/>
  <c r="I391" i="2"/>
  <c r="H392" i="2"/>
  <c r="H393" i="2" l="1"/>
  <c r="I392" i="2"/>
  <c r="C392" i="3"/>
  <c r="D391" i="3"/>
  <c r="E391" i="3" s="1"/>
  <c r="F391" i="3" s="1"/>
  <c r="G391" i="3" s="1"/>
  <c r="D392" i="3" l="1"/>
  <c r="E392" i="3" s="1"/>
  <c r="F392" i="3" s="1"/>
  <c r="G392" i="3" s="1"/>
  <c r="C393" i="3"/>
  <c r="I393" i="2"/>
  <c r="H394" i="2"/>
  <c r="H395" i="2" l="1"/>
  <c r="I394" i="2"/>
  <c r="C394" i="3"/>
  <c r="D393" i="3"/>
  <c r="E393" i="3" s="1"/>
  <c r="F393" i="3" s="1"/>
  <c r="G393" i="3" s="1"/>
  <c r="D394" i="3" l="1"/>
  <c r="E394" i="3" s="1"/>
  <c r="F394" i="3" s="1"/>
  <c r="G394" i="3" s="1"/>
  <c r="C395" i="3"/>
  <c r="I395" i="2"/>
  <c r="H396" i="2"/>
  <c r="H397" i="2" l="1"/>
  <c r="I396" i="2"/>
  <c r="C396" i="3"/>
  <c r="D395" i="3"/>
  <c r="E395" i="3" s="1"/>
  <c r="F395" i="3" s="1"/>
  <c r="G395" i="3" s="1"/>
  <c r="C397" i="3" l="1"/>
  <c r="D396" i="3"/>
  <c r="E396" i="3" s="1"/>
  <c r="F396" i="3" s="1"/>
  <c r="G396" i="3" s="1"/>
  <c r="I397" i="2"/>
  <c r="H398" i="2"/>
  <c r="H399" i="2" l="1"/>
  <c r="I398" i="2"/>
  <c r="D397" i="3"/>
  <c r="E397" i="3" s="1"/>
  <c r="F397" i="3" s="1"/>
  <c r="G397" i="3" s="1"/>
  <c r="C398" i="3"/>
  <c r="C399" i="3" l="1"/>
  <c r="D398" i="3"/>
  <c r="E398" i="3" s="1"/>
  <c r="F398" i="3" s="1"/>
  <c r="G398" i="3" s="1"/>
  <c r="I399" i="2"/>
  <c r="H400" i="2"/>
  <c r="H401" i="2" l="1"/>
  <c r="I400" i="2"/>
  <c r="D399" i="3"/>
  <c r="E399" i="3" s="1"/>
  <c r="F399" i="3" s="1"/>
  <c r="G399" i="3" s="1"/>
  <c r="C400" i="3"/>
  <c r="C401" i="3" l="1"/>
  <c r="D400" i="3"/>
  <c r="E400" i="3" s="1"/>
  <c r="F400" i="3" s="1"/>
  <c r="G400" i="3" s="1"/>
  <c r="I401" i="2"/>
  <c r="H402" i="2"/>
  <c r="H403" i="2" l="1"/>
  <c r="I402" i="2"/>
  <c r="C402" i="3"/>
  <c r="D401" i="3"/>
  <c r="E401" i="3" s="1"/>
  <c r="F401" i="3" s="1"/>
  <c r="G401" i="3" s="1"/>
  <c r="C403" i="3" l="1"/>
  <c r="D402" i="3"/>
  <c r="E402" i="3" s="1"/>
  <c r="F402" i="3" s="1"/>
  <c r="G402" i="3" s="1"/>
  <c r="I403" i="2"/>
  <c r="H404" i="2"/>
  <c r="H405" i="2" l="1"/>
  <c r="I404" i="2"/>
  <c r="C404" i="3"/>
  <c r="D403" i="3"/>
  <c r="E403" i="3" s="1"/>
  <c r="F403" i="3" s="1"/>
  <c r="G403" i="3" s="1"/>
  <c r="D404" i="3" l="1"/>
  <c r="E404" i="3" s="1"/>
  <c r="F404" i="3" s="1"/>
  <c r="G404" i="3" s="1"/>
  <c r="C405" i="3"/>
  <c r="I405" i="2"/>
  <c r="H406" i="2"/>
  <c r="H407" i="2" l="1"/>
  <c r="I406" i="2"/>
  <c r="C406" i="3"/>
  <c r="D405" i="3"/>
  <c r="E405" i="3" s="1"/>
  <c r="F405" i="3" s="1"/>
  <c r="G405" i="3" s="1"/>
  <c r="D406" i="3" l="1"/>
  <c r="E406" i="3" s="1"/>
  <c r="F406" i="3" s="1"/>
  <c r="G406" i="3" s="1"/>
  <c r="C407" i="3"/>
  <c r="I407" i="2"/>
  <c r="H408" i="2"/>
  <c r="H409" i="2" l="1"/>
  <c r="I408" i="2"/>
  <c r="C408" i="3"/>
  <c r="D407" i="3"/>
  <c r="E407" i="3" s="1"/>
  <c r="F407" i="3" s="1"/>
  <c r="G407" i="3" s="1"/>
  <c r="C409" i="3" l="1"/>
  <c r="D408" i="3"/>
  <c r="E408" i="3" s="1"/>
  <c r="F408" i="3" s="1"/>
  <c r="G408" i="3" s="1"/>
  <c r="I409" i="2"/>
  <c r="H410" i="2"/>
  <c r="H411" i="2" l="1"/>
  <c r="I410" i="2"/>
  <c r="D409" i="3"/>
  <c r="E409" i="3" s="1"/>
  <c r="F409" i="3" s="1"/>
  <c r="G409" i="3" s="1"/>
  <c r="C410" i="3"/>
  <c r="C411" i="3" l="1"/>
  <c r="D410" i="3"/>
  <c r="E410" i="3" s="1"/>
  <c r="F410" i="3" s="1"/>
  <c r="G410" i="3" s="1"/>
  <c r="I411" i="2"/>
  <c r="H412" i="2"/>
  <c r="H413" i="2" l="1"/>
  <c r="I412" i="2"/>
  <c r="D411" i="3"/>
  <c r="E411" i="3" s="1"/>
  <c r="F411" i="3" s="1"/>
  <c r="G411" i="3" s="1"/>
  <c r="C412" i="3"/>
  <c r="C413" i="3" l="1"/>
  <c r="D412" i="3"/>
  <c r="E412" i="3" s="1"/>
  <c r="F412" i="3" s="1"/>
  <c r="G412" i="3" s="1"/>
  <c r="I413" i="2"/>
  <c r="H414" i="2"/>
  <c r="H415" i="2" l="1"/>
  <c r="I414" i="2"/>
  <c r="C414" i="3"/>
  <c r="D413" i="3"/>
  <c r="E413" i="3" s="1"/>
  <c r="F413" i="3" s="1"/>
  <c r="G413" i="3" s="1"/>
  <c r="C415" i="3" l="1"/>
  <c r="D414" i="3"/>
  <c r="E414" i="3" s="1"/>
  <c r="F414" i="3" s="1"/>
  <c r="G414" i="3" s="1"/>
  <c r="I415" i="2"/>
  <c r="H416" i="2"/>
  <c r="H417" i="2" l="1"/>
  <c r="I416" i="2"/>
  <c r="C416" i="3"/>
  <c r="D415" i="3"/>
  <c r="E415" i="3" s="1"/>
  <c r="F415" i="3" s="1"/>
  <c r="G415" i="3" s="1"/>
  <c r="D416" i="3" l="1"/>
  <c r="E416" i="3" s="1"/>
  <c r="F416" i="3" s="1"/>
  <c r="G416" i="3" s="1"/>
  <c r="C417" i="3"/>
  <c r="I417" i="2"/>
  <c r="H418" i="2"/>
  <c r="H419" i="2" l="1"/>
  <c r="I418" i="2"/>
  <c r="C418" i="3"/>
  <c r="D417" i="3"/>
  <c r="E417" i="3" s="1"/>
  <c r="F417" i="3" s="1"/>
  <c r="G417" i="3" s="1"/>
  <c r="D418" i="3" l="1"/>
  <c r="E418" i="3" s="1"/>
  <c r="F418" i="3" s="1"/>
  <c r="G418" i="3" s="1"/>
  <c r="C419" i="3"/>
  <c r="I419" i="2"/>
  <c r="H420" i="2"/>
  <c r="H421" i="2" l="1"/>
  <c r="I420" i="2"/>
  <c r="C420" i="3"/>
  <c r="D419" i="3"/>
  <c r="E419" i="3" s="1"/>
  <c r="F419" i="3" s="1"/>
  <c r="G419" i="3" s="1"/>
  <c r="C421" i="3" l="1"/>
  <c r="D420" i="3"/>
  <c r="E420" i="3" s="1"/>
  <c r="F420" i="3" s="1"/>
  <c r="G420" i="3" s="1"/>
  <c r="I421" i="2"/>
  <c r="H422" i="2"/>
  <c r="H423" i="2" l="1"/>
  <c r="I422" i="2"/>
  <c r="D421" i="3"/>
  <c r="E421" i="3" s="1"/>
  <c r="F421" i="3" s="1"/>
  <c r="G421" i="3" s="1"/>
  <c r="C422" i="3"/>
  <c r="C423" i="3" l="1"/>
  <c r="D422" i="3"/>
  <c r="E422" i="3" s="1"/>
  <c r="F422" i="3" s="1"/>
  <c r="G422" i="3" s="1"/>
  <c r="I423" i="2"/>
  <c r="H424" i="2"/>
  <c r="H425" i="2" l="1"/>
  <c r="I424" i="2"/>
  <c r="D423" i="3"/>
  <c r="E423" i="3" s="1"/>
  <c r="F423" i="3" s="1"/>
  <c r="G423" i="3" s="1"/>
  <c r="C424" i="3"/>
  <c r="C425" i="3" l="1"/>
  <c r="D424" i="3"/>
  <c r="E424" i="3" s="1"/>
  <c r="F424" i="3" s="1"/>
  <c r="G424" i="3" s="1"/>
  <c r="I425" i="2"/>
  <c r="H426" i="2"/>
  <c r="H427" i="2" l="1"/>
  <c r="I426" i="2"/>
  <c r="C426" i="3"/>
  <c r="D425" i="3"/>
  <c r="E425" i="3" s="1"/>
  <c r="F425" i="3" s="1"/>
  <c r="G425" i="3" s="1"/>
  <c r="C427" i="3" l="1"/>
  <c r="D426" i="3"/>
  <c r="E426" i="3" s="1"/>
  <c r="F426" i="3" s="1"/>
  <c r="G426" i="3" s="1"/>
  <c r="I427" i="2"/>
  <c r="H428" i="2"/>
  <c r="H429" i="2" l="1"/>
  <c r="I428" i="2"/>
  <c r="C428" i="3"/>
  <c r="D427" i="3"/>
  <c r="E427" i="3" s="1"/>
  <c r="F427" i="3" s="1"/>
  <c r="G427" i="3" s="1"/>
  <c r="D428" i="3" l="1"/>
  <c r="E428" i="3" s="1"/>
  <c r="F428" i="3" s="1"/>
  <c r="G428" i="3" s="1"/>
  <c r="C429" i="3"/>
  <c r="I429" i="2"/>
  <c r="H430" i="2"/>
  <c r="H431" i="2" l="1"/>
  <c r="I430" i="2"/>
  <c r="C430" i="3"/>
  <c r="D429" i="3"/>
  <c r="E429" i="3" s="1"/>
  <c r="F429" i="3" s="1"/>
  <c r="G429" i="3" s="1"/>
  <c r="D430" i="3" l="1"/>
  <c r="E430" i="3" s="1"/>
  <c r="F430" i="3" s="1"/>
  <c r="G430" i="3" s="1"/>
  <c r="C431" i="3"/>
  <c r="I431" i="2"/>
  <c r="H432" i="2"/>
  <c r="H433" i="2" l="1"/>
  <c r="I432" i="2"/>
  <c r="C432" i="3"/>
  <c r="D431" i="3"/>
  <c r="E431" i="3" s="1"/>
  <c r="F431" i="3" s="1"/>
  <c r="G431" i="3" s="1"/>
  <c r="C433" i="3" l="1"/>
  <c r="D432" i="3"/>
  <c r="E432" i="3" s="1"/>
  <c r="F432" i="3" s="1"/>
  <c r="G432" i="3" s="1"/>
  <c r="I433" i="2"/>
  <c r="H434" i="2"/>
  <c r="H435" i="2" l="1"/>
  <c r="I434" i="2"/>
  <c r="D433" i="3"/>
  <c r="E433" i="3" s="1"/>
  <c r="F433" i="3" s="1"/>
  <c r="G433" i="3" s="1"/>
  <c r="C434" i="3"/>
  <c r="C435" i="3" l="1"/>
  <c r="D434" i="3"/>
  <c r="E434" i="3" s="1"/>
  <c r="F434" i="3" s="1"/>
  <c r="G434" i="3" s="1"/>
  <c r="I435" i="2"/>
  <c r="H436" i="2"/>
  <c r="H437" i="2" l="1"/>
  <c r="I436" i="2"/>
  <c r="D435" i="3"/>
  <c r="E435" i="3" s="1"/>
  <c r="F435" i="3" s="1"/>
  <c r="G435" i="3" s="1"/>
  <c r="C436" i="3"/>
  <c r="C437" i="3" l="1"/>
  <c r="D436" i="3"/>
  <c r="E436" i="3" s="1"/>
  <c r="F436" i="3" s="1"/>
  <c r="G436" i="3" s="1"/>
  <c r="I437" i="2"/>
  <c r="H438" i="2"/>
  <c r="H439" i="2" l="1"/>
  <c r="I438" i="2"/>
  <c r="C438" i="3"/>
  <c r="D437" i="3"/>
  <c r="E437" i="3" s="1"/>
  <c r="F437" i="3" s="1"/>
  <c r="G437" i="3" s="1"/>
  <c r="C439" i="3" l="1"/>
  <c r="D438" i="3"/>
  <c r="E438" i="3" s="1"/>
  <c r="F438" i="3" s="1"/>
  <c r="G438" i="3" s="1"/>
  <c r="I439" i="2"/>
  <c r="H440" i="2"/>
  <c r="H441" i="2" l="1"/>
  <c r="I440" i="2"/>
  <c r="C440" i="3"/>
  <c r="D439" i="3"/>
  <c r="E439" i="3" s="1"/>
  <c r="F439" i="3" s="1"/>
  <c r="G439" i="3" s="1"/>
  <c r="D440" i="3" l="1"/>
  <c r="E440" i="3" s="1"/>
  <c r="F440" i="3" s="1"/>
  <c r="G440" i="3" s="1"/>
  <c r="C441" i="3"/>
  <c r="I441" i="2"/>
  <c r="H442" i="2"/>
  <c r="H443" i="2" l="1"/>
  <c r="I442" i="2"/>
  <c r="C442" i="3"/>
  <c r="D441" i="3"/>
  <c r="E441" i="3" s="1"/>
  <c r="F441" i="3" s="1"/>
  <c r="G441" i="3" s="1"/>
  <c r="D442" i="3" l="1"/>
  <c r="E442" i="3" s="1"/>
  <c r="F442" i="3" s="1"/>
  <c r="G442" i="3" s="1"/>
  <c r="C443" i="3"/>
  <c r="I443" i="2"/>
  <c r="H444" i="2"/>
  <c r="H445" i="2" l="1"/>
  <c r="I444" i="2"/>
  <c r="C444" i="3"/>
  <c r="D443" i="3"/>
  <c r="E443" i="3" s="1"/>
  <c r="F443" i="3" s="1"/>
  <c r="G443" i="3" s="1"/>
  <c r="C445" i="3" l="1"/>
  <c r="D444" i="3"/>
  <c r="E444" i="3" s="1"/>
  <c r="F444" i="3" s="1"/>
  <c r="G444" i="3" s="1"/>
  <c r="I445" i="2"/>
  <c r="H446" i="2"/>
  <c r="H447" i="2" l="1"/>
  <c r="I446" i="2"/>
  <c r="D445" i="3"/>
  <c r="E445" i="3" s="1"/>
  <c r="F445" i="3" s="1"/>
  <c r="G445" i="3" s="1"/>
  <c r="C446" i="3"/>
  <c r="C447" i="3" l="1"/>
  <c r="D446" i="3"/>
  <c r="E446" i="3" s="1"/>
  <c r="F446" i="3" s="1"/>
  <c r="G446" i="3" s="1"/>
  <c r="I447" i="2"/>
  <c r="H448" i="2"/>
  <c r="H449" i="2" l="1"/>
  <c r="I448" i="2"/>
  <c r="D447" i="3"/>
  <c r="E447" i="3" s="1"/>
  <c r="F447" i="3" s="1"/>
  <c r="G447" i="3" s="1"/>
  <c r="C448" i="3"/>
  <c r="C449" i="3" l="1"/>
  <c r="D448" i="3"/>
  <c r="E448" i="3" s="1"/>
  <c r="F448" i="3" s="1"/>
  <c r="G448" i="3" s="1"/>
  <c r="I449" i="2"/>
  <c r="H450" i="2"/>
  <c r="H451" i="2" l="1"/>
  <c r="I450" i="2"/>
  <c r="C450" i="3"/>
  <c r="D449" i="3"/>
  <c r="E449" i="3" s="1"/>
  <c r="F449" i="3" s="1"/>
  <c r="G449" i="3" s="1"/>
  <c r="C451" i="3" l="1"/>
  <c r="D450" i="3"/>
  <c r="E450" i="3" s="1"/>
  <c r="F450" i="3" s="1"/>
  <c r="G450" i="3" s="1"/>
  <c r="I451" i="2"/>
  <c r="H452" i="2"/>
  <c r="H453" i="2" l="1"/>
  <c r="I452" i="2"/>
  <c r="C452" i="3"/>
  <c r="D451" i="3"/>
  <c r="E451" i="3" s="1"/>
  <c r="F451" i="3" s="1"/>
  <c r="G451" i="3" s="1"/>
  <c r="D452" i="3" l="1"/>
  <c r="E452" i="3" s="1"/>
  <c r="F452" i="3" s="1"/>
  <c r="G452" i="3" s="1"/>
  <c r="C453" i="3"/>
  <c r="I453" i="2"/>
  <c r="H454" i="2"/>
  <c r="H455" i="2" l="1"/>
  <c r="I454" i="2"/>
  <c r="C454" i="3"/>
  <c r="D453" i="3"/>
  <c r="E453" i="3" s="1"/>
  <c r="F453" i="3" s="1"/>
  <c r="G453" i="3" s="1"/>
  <c r="D454" i="3" l="1"/>
  <c r="E454" i="3" s="1"/>
  <c r="F454" i="3" s="1"/>
  <c r="G454" i="3" s="1"/>
  <c r="C455" i="3"/>
  <c r="I455" i="2"/>
  <c r="H456" i="2"/>
  <c r="H457" i="2" l="1"/>
  <c r="I456" i="2"/>
  <c r="C456" i="3"/>
  <c r="D455" i="3"/>
  <c r="E455" i="3" s="1"/>
  <c r="F455" i="3" s="1"/>
  <c r="G455" i="3" s="1"/>
  <c r="C457" i="3" l="1"/>
  <c r="D456" i="3"/>
  <c r="E456" i="3" s="1"/>
  <c r="F456" i="3" s="1"/>
  <c r="G456" i="3" s="1"/>
  <c r="I457" i="2"/>
  <c r="H458" i="2"/>
  <c r="H459" i="2" l="1"/>
  <c r="I458" i="2"/>
  <c r="D457" i="3"/>
  <c r="E457" i="3" s="1"/>
  <c r="F457" i="3" s="1"/>
  <c r="G457" i="3" s="1"/>
  <c r="C458" i="3"/>
  <c r="C459" i="3" l="1"/>
  <c r="D458" i="3"/>
  <c r="E458" i="3" s="1"/>
  <c r="F458" i="3" s="1"/>
  <c r="G458" i="3" s="1"/>
  <c r="I459" i="2"/>
  <c r="H460" i="2"/>
  <c r="H461" i="2" l="1"/>
  <c r="I460" i="2"/>
  <c r="D459" i="3"/>
  <c r="E459" i="3" s="1"/>
  <c r="F459" i="3" s="1"/>
  <c r="G459" i="3" s="1"/>
  <c r="C460" i="3"/>
  <c r="C461" i="3" l="1"/>
  <c r="D460" i="3"/>
  <c r="E460" i="3" s="1"/>
  <c r="F460" i="3" s="1"/>
  <c r="G460" i="3" s="1"/>
  <c r="I461" i="2"/>
  <c r="H462" i="2"/>
  <c r="H463" i="2" l="1"/>
  <c r="I462" i="2"/>
  <c r="C462" i="3"/>
  <c r="D461" i="3"/>
  <c r="E461" i="3" s="1"/>
  <c r="F461" i="3" s="1"/>
  <c r="G461" i="3" s="1"/>
  <c r="C463" i="3" l="1"/>
  <c r="D462" i="3"/>
  <c r="E462" i="3" s="1"/>
  <c r="F462" i="3" s="1"/>
  <c r="G462" i="3" s="1"/>
  <c r="I463" i="2"/>
  <c r="H464" i="2"/>
  <c r="H465" i="2" l="1"/>
  <c r="I464" i="2"/>
  <c r="C464" i="3"/>
  <c r="D463" i="3"/>
  <c r="E463" i="3" s="1"/>
  <c r="F463" i="3" s="1"/>
  <c r="G463" i="3" s="1"/>
  <c r="D464" i="3" l="1"/>
  <c r="E464" i="3" s="1"/>
  <c r="F464" i="3" s="1"/>
  <c r="G464" i="3" s="1"/>
  <c r="C465" i="3"/>
  <c r="I465" i="2"/>
  <c r="H466" i="2"/>
  <c r="H467" i="2" l="1"/>
  <c r="I466" i="2"/>
  <c r="C466" i="3"/>
  <c r="D465" i="3"/>
  <c r="E465" i="3" s="1"/>
  <c r="F465" i="3" s="1"/>
  <c r="G465" i="3" s="1"/>
  <c r="D466" i="3" l="1"/>
  <c r="E466" i="3" s="1"/>
  <c r="F466" i="3" s="1"/>
  <c r="G466" i="3" s="1"/>
  <c r="C467" i="3"/>
  <c r="I467" i="2"/>
  <c r="H468" i="2"/>
  <c r="H469" i="2" l="1"/>
  <c r="I468" i="2"/>
  <c r="C468" i="3"/>
  <c r="D467" i="3"/>
  <c r="E467" i="3" s="1"/>
  <c r="F467" i="3" s="1"/>
  <c r="G467" i="3" s="1"/>
  <c r="C469" i="3" l="1"/>
  <c r="D468" i="3"/>
  <c r="E468" i="3" s="1"/>
  <c r="F468" i="3" s="1"/>
  <c r="G468" i="3" s="1"/>
  <c r="I469" i="2"/>
  <c r="H470" i="2"/>
  <c r="H471" i="2" l="1"/>
  <c r="I470" i="2"/>
  <c r="D469" i="3"/>
  <c r="E469" i="3" s="1"/>
  <c r="F469" i="3" s="1"/>
  <c r="G469" i="3" s="1"/>
  <c r="C470" i="3"/>
  <c r="C471" i="3" l="1"/>
  <c r="D470" i="3"/>
  <c r="E470" i="3" s="1"/>
  <c r="F470" i="3" s="1"/>
  <c r="G470" i="3" s="1"/>
  <c r="I471" i="2"/>
  <c r="H472" i="2"/>
  <c r="H473" i="2" l="1"/>
  <c r="I472" i="2"/>
  <c r="D471" i="3"/>
  <c r="E471" i="3" s="1"/>
  <c r="F471" i="3" s="1"/>
  <c r="G471" i="3" s="1"/>
  <c r="C472" i="3"/>
  <c r="C473" i="3" l="1"/>
  <c r="D472" i="3"/>
  <c r="E472" i="3" s="1"/>
  <c r="F472" i="3" s="1"/>
  <c r="G472" i="3" s="1"/>
  <c r="I473" i="2"/>
  <c r="H474" i="2"/>
  <c r="H475" i="2" l="1"/>
  <c r="I474" i="2"/>
  <c r="C474" i="3"/>
  <c r="D473" i="3"/>
  <c r="E473" i="3" s="1"/>
  <c r="F473" i="3" s="1"/>
  <c r="G473" i="3" s="1"/>
  <c r="C475" i="3" l="1"/>
  <c r="D474" i="3"/>
  <c r="E474" i="3" s="1"/>
  <c r="F474" i="3" s="1"/>
  <c r="G474" i="3" s="1"/>
  <c r="I475" i="2"/>
  <c r="H476" i="2"/>
  <c r="H477" i="2" l="1"/>
  <c r="I476" i="2"/>
  <c r="C476" i="3"/>
  <c r="D475" i="3"/>
  <c r="E475" i="3" s="1"/>
  <c r="F475" i="3" s="1"/>
  <c r="G475" i="3" s="1"/>
  <c r="D476" i="3" l="1"/>
  <c r="E476" i="3" s="1"/>
  <c r="F476" i="3" s="1"/>
  <c r="G476" i="3" s="1"/>
  <c r="C477" i="3"/>
  <c r="I477" i="2"/>
  <c r="H478" i="2"/>
  <c r="H479" i="2" l="1"/>
  <c r="I478" i="2"/>
  <c r="C478" i="3"/>
  <c r="D477" i="3"/>
  <c r="E477" i="3" s="1"/>
  <c r="F477" i="3" s="1"/>
  <c r="G477" i="3" s="1"/>
  <c r="D478" i="3" l="1"/>
  <c r="E478" i="3" s="1"/>
  <c r="F478" i="3" s="1"/>
  <c r="G478" i="3" s="1"/>
  <c r="C479" i="3"/>
  <c r="I479" i="2"/>
  <c r="H480" i="2"/>
  <c r="H481" i="2" l="1"/>
  <c r="I480" i="2"/>
  <c r="C480" i="3"/>
  <c r="D479" i="3"/>
  <c r="E479" i="3" s="1"/>
  <c r="F479" i="3" s="1"/>
  <c r="G479" i="3" s="1"/>
  <c r="C481" i="3" l="1"/>
  <c r="D480" i="3"/>
  <c r="E480" i="3" s="1"/>
  <c r="F480" i="3" s="1"/>
  <c r="G480" i="3" s="1"/>
  <c r="I481" i="2"/>
  <c r="H482" i="2"/>
  <c r="H483" i="2" l="1"/>
  <c r="I482" i="2"/>
  <c r="D481" i="3"/>
  <c r="E481" i="3" s="1"/>
  <c r="F481" i="3" s="1"/>
  <c r="G481" i="3" s="1"/>
  <c r="C482" i="3"/>
  <c r="C483" i="3" l="1"/>
  <c r="D482" i="3"/>
  <c r="E482" i="3" s="1"/>
  <c r="F482" i="3" s="1"/>
  <c r="G482" i="3" s="1"/>
  <c r="I483" i="2"/>
  <c r="H484" i="2"/>
  <c r="H485" i="2" l="1"/>
  <c r="I484" i="2"/>
  <c r="D483" i="3"/>
  <c r="E483" i="3" s="1"/>
  <c r="F483" i="3" s="1"/>
  <c r="G483" i="3" s="1"/>
  <c r="C484" i="3"/>
  <c r="C485" i="3" l="1"/>
  <c r="D484" i="3"/>
  <c r="E484" i="3" s="1"/>
  <c r="F484" i="3" s="1"/>
  <c r="G484" i="3" s="1"/>
  <c r="I485" i="2"/>
  <c r="H486" i="2"/>
  <c r="H487" i="2" l="1"/>
  <c r="I486" i="2"/>
  <c r="C486" i="3"/>
  <c r="D485" i="3"/>
  <c r="E485" i="3" s="1"/>
  <c r="F485" i="3" s="1"/>
  <c r="G485" i="3" s="1"/>
  <c r="C487" i="3" l="1"/>
  <c r="D486" i="3"/>
  <c r="E486" i="3" s="1"/>
  <c r="F486" i="3" s="1"/>
  <c r="G486" i="3" s="1"/>
  <c r="I487" i="2"/>
  <c r="H488" i="2"/>
  <c r="H489" i="2" l="1"/>
  <c r="I488" i="2"/>
  <c r="C488" i="3"/>
  <c r="D487" i="3"/>
  <c r="E487" i="3" s="1"/>
  <c r="F487" i="3" s="1"/>
  <c r="G487" i="3" s="1"/>
  <c r="D488" i="3" l="1"/>
  <c r="E488" i="3" s="1"/>
  <c r="F488" i="3" s="1"/>
  <c r="G488" i="3" s="1"/>
  <c r="C489" i="3"/>
  <c r="I489" i="2"/>
  <c r="H490" i="2"/>
  <c r="H491" i="2" l="1"/>
  <c r="I490" i="2"/>
  <c r="C490" i="3"/>
  <c r="D489" i="3"/>
  <c r="E489" i="3" s="1"/>
  <c r="F489" i="3" s="1"/>
  <c r="G489" i="3" s="1"/>
  <c r="D490" i="3" l="1"/>
  <c r="E490" i="3" s="1"/>
  <c r="F490" i="3" s="1"/>
  <c r="G490" i="3" s="1"/>
  <c r="C491" i="3"/>
  <c r="I491" i="2"/>
  <c r="H492" i="2"/>
  <c r="H493" i="2" l="1"/>
  <c r="I492" i="2"/>
  <c r="C492" i="3"/>
  <c r="D491" i="3"/>
  <c r="E491" i="3" s="1"/>
  <c r="F491" i="3" s="1"/>
  <c r="G491" i="3" s="1"/>
  <c r="C493" i="3" l="1"/>
  <c r="D492" i="3"/>
  <c r="E492" i="3" s="1"/>
  <c r="F492" i="3" s="1"/>
  <c r="G492" i="3" s="1"/>
  <c r="I493" i="2"/>
  <c r="H494" i="2"/>
  <c r="H495" i="2" l="1"/>
  <c r="I494" i="2"/>
  <c r="D493" i="3"/>
  <c r="E493" i="3" s="1"/>
  <c r="F493" i="3" s="1"/>
  <c r="G493" i="3" s="1"/>
  <c r="C494" i="3"/>
  <c r="C495" i="3" l="1"/>
  <c r="D494" i="3"/>
  <c r="E494" i="3" s="1"/>
  <c r="F494" i="3" s="1"/>
  <c r="G494" i="3" s="1"/>
  <c r="I495" i="2"/>
  <c r="H496" i="2"/>
  <c r="H497" i="2" l="1"/>
  <c r="I496" i="2"/>
  <c r="D495" i="3"/>
  <c r="E495" i="3" s="1"/>
  <c r="F495" i="3" s="1"/>
  <c r="G495" i="3" s="1"/>
  <c r="C496" i="3"/>
  <c r="C497" i="3" l="1"/>
  <c r="D496" i="3"/>
  <c r="E496" i="3" s="1"/>
  <c r="F496" i="3" s="1"/>
  <c r="G496" i="3" s="1"/>
  <c r="I497" i="2"/>
  <c r="H498" i="2"/>
  <c r="H499" i="2" l="1"/>
  <c r="I498" i="2"/>
  <c r="C498" i="3"/>
  <c r="D497" i="3"/>
  <c r="E497" i="3" s="1"/>
  <c r="F497" i="3" s="1"/>
  <c r="G497" i="3" s="1"/>
  <c r="C499" i="3" l="1"/>
  <c r="D498" i="3"/>
  <c r="E498" i="3" s="1"/>
  <c r="F498" i="3" s="1"/>
  <c r="G498" i="3" s="1"/>
  <c r="I499" i="2"/>
  <c r="H500" i="2"/>
  <c r="H501" i="2" l="1"/>
  <c r="I500" i="2"/>
  <c r="C500" i="3"/>
  <c r="D499" i="3"/>
  <c r="E499" i="3" s="1"/>
  <c r="F499" i="3" s="1"/>
  <c r="G499" i="3" s="1"/>
  <c r="D500" i="3" l="1"/>
  <c r="E500" i="3" s="1"/>
  <c r="F500" i="3" s="1"/>
  <c r="G500" i="3" s="1"/>
  <c r="C501" i="3"/>
  <c r="I501" i="2"/>
  <c r="H502" i="2"/>
  <c r="I502" i="2" s="1"/>
  <c r="C502" i="3" l="1"/>
  <c r="D501" i="3"/>
  <c r="E501" i="3" s="1"/>
  <c r="F501" i="3" s="1"/>
  <c r="G501" i="3" s="1"/>
  <c r="D502" i="3" l="1"/>
  <c r="E502" i="3" s="1"/>
  <c r="F502" i="3" s="1"/>
  <c r="G502" i="3" s="1"/>
  <c r="G504" i="3" s="1"/>
</calcChain>
</file>

<file path=xl/sharedStrings.xml><?xml version="1.0" encoding="utf-8"?>
<sst xmlns="http://schemas.openxmlformats.org/spreadsheetml/2006/main" count="57" uniqueCount="44">
  <si>
    <t>Egg Demand Forecasting Model — Assumptions &amp; Key Results</t>
  </si>
  <si>
    <t>MODEL ASSUMPTIONS</t>
  </si>
  <si>
    <t>Selling price per unit (p)</t>
  </si>
  <si>
    <t>$ per egg</t>
  </si>
  <si>
    <t>Cost per unit (c)</t>
  </si>
  <si>
    <t>Salvage value (s)</t>
  </si>
  <si>
    <t>No recovery on unsold units</t>
  </si>
  <si>
    <t>Moving average window</t>
  </si>
  <si>
    <t>Periods (weeks)</t>
  </si>
  <si>
    <t>Exp. smoothing alpha (α)</t>
  </si>
  <si>
    <t>Weight on most recent observation</t>
  </si>
  <si>
    <t>Service level target</t>
  </si>
  <si>
    <t>80%</t>
  </si>
  <si>
    <t>SL = (p-c)/(p-s) = (4-0.8)/(4-0) = 0.8</t>
  </si>
  <si>
    <t>Training period</t>
  </si>
  <si>
    <t>Weeks 1–301</t>
  </si>
  <si>
    <t>Model fitting</t>
  </si>
  <si>
    <t>Forecast period</t>
  </si>
  <si>
    <t>Weeks 302+</t>
  </si>
  <si>
    <t>Out-of-sample with SL buffer</t>
  </si>
  <si>
    <t>KEY RESULTS (Training Period: Weeks 1–301)</t>
  </si>
  <si>
    <t>Metric</t>
  </si>
  <si>
    <t>Moving Average</t>
  </si>
  <si>
    <t>Exp. Smoothing (α=0.2)</t>
  </si>
  <si>
    <t>Avg forecast error</t>
  </si>
  <si>
    <t>Stdev forecast error</t>
  </si>
  <si>
    <t>Min forecast error</t>
  </si>
  <si>
    <t>Max forecast error</t>
  </si>
  <si>
    <t>Avg weekly profit</t>
  </si>
  <si>
    <t>N/A — see SL Forecast sheet</t>
  </si>
  <si>
    <t>MOVING AVERAGE MODEL  (4-period window)</t>
  </si>
  <si>
    <t>EXP. SMOOTHING  (α = 0.20)</t>
  </si>
  <si>
    <t>Week</t>
  </si>
  <si>
    <t>Demand</t>
  </si>
  <si>
    <t>MA Forecast</t>
  </si>
  <si>
    <t>Forecast Error</t>
  </si>
  <si>
    <t>Order Qty (Q)</t>
  </si>
  <si>
    <t>Profit ($)</t>
  </si>
  <si>
    <t>Exp Forecast</t>
  </si>
  <si>
    <t>"N/A"</t>
  </si>
  <si>
    <t>Optimal Order Qty (MA) = Week 301 Forecast + Stdev(Errors)</t>
  </si>
  <si>
    <t>SERVICE LEVEL FORECAST  (Exp. Smoothing Base + 80th Percentile Buffer)</t>
  </si>
  <si>
    <t>SL Buffer (80th pct)</t>
  </si>
  <si>
    <t>Avg Weekly Profit (SL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</si>
</sst>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#,##0.0"/>
  </numFmts>
  <fonts count="7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333300"/>
      </patternFill>
    </fill>
    <fill>
      <patternFill patternType="solid">
        <fgColor rgb="FFFFFFFF"/>
        <bgColor rgb="FFFDF3E8"/>
      </patternFill>
    </fill>
    <fill>
      <patternFill patternType="solid">
        <fgColor rgb="FFEBF3FB"/>
        <bgColor rgb="FFFDF3E8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FDF3E8"/>
      </patternFill>
    </fill>
    <fill>
      <patternFill patternType="solid">
        <fgColor rgb="FF7B3F00"/>
        <bgColor rgb="FF993366"/>
      </patternFill>
    </fill>
    <fill>
      <patternFill patternType="solid">
        <fgColor rgb="FFFDF3E8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10" borderId="0" xfId="0" applyFont="1" applyFill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0" fillId="6" borderId="0" xfId="0" applyFill="1"/>
    <xf numFmtId="0" fontId="0" fillId="6" borderId="1" xfId="0" applyFill="1" applyBorder="1"/>
    <xf numFmtId="3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1" xfId="0" applyBorder="1"/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F3E8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3F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showGridLines="0" zoomScaleNormal="100" workbookViewId="0"/>
  </sheetViews>
  <sheetFormatPr defaultColWidth="8.6640625" defaultRowHeight="14.4" x14ac:dyDescent="0.3"/>
  <cols>
    <col min="1" max="1" width="32" customWidth="1"/>
    <col min="2" max="2" width="20" customWidth="1"/>
    <col min="3" max="3" width="36" customWidth="1"/>
  </cols>
  <sheetData>
    <row r="1" spans="1:3" ht="27.75" customHeight="1" x14ac:dyDescent="0.3">
      <c r="A1" s="7" t="s">
        <v>0</v>
      </c>
      <c r="B1" s="7"/>
      <c r="C1" s="7"/>
    </row>
    <row r="3" spans="1:3" ht="15" customHeight="1" x14ac:dyDescent="0.3">
      <c r="A3" s="6" t="s">
        <v>1</v>
      </c>
      <c r="B3" s="6"/>
      <c r="C3" s="6"/>
    </row>
    <row r="4" spans="1:3" ht="15" customHeight="1" x14ac:dyDescent="0.3">
      <c r="A4" s="8" t="s">
        <v>2</v>
      </c>
      <c r="B4" s="9">
        <v>4</v>
      </c>
      <c r="C4" s="8" t="s">
        <v>3</v>
      </c>
    </row>
    <row r="5" spans="1:3" ht="15" customHeight="1" x14ac:dyDescent="0.3">
      <c r="A5" s="8" t="s">
        <v>4</v>
      </c>
      <c r="B5" s="9">
        <v>0.8</v>
      </c>
      <c r="C5" s="8" t="s">
        <v>3</v>
      </c>
    </row>
    <row r="6" spans="1:3" ht="15" customHeight="1" x14ac:dyDescent="0.3">
      <c r="A6" s="8" t="s">
        <v>5</v>
      </c>
      <c r="B6" s="9">
        <v>0</v>
      </c>
      <c r="C6" s="8" t="s">
        <v>6</v>
      </c>
    </row>
    <row r="7" spans="1:3" ht="15" customHeight="1" x14ac:dyDescent="0.3">
      <c r="A7" s="8" t="s">
        <v>7</v>
      </c>
      <c r="B7" s="10">
        <v>4</v>
      </c>
      <c r="C7" s="8" t="s">
        <v>8</v>
      </c>
    </row>
    <row r="8" spans="1:3" ht="15" customHeight="1" x14ac:dyDescent="0.3">
      <c r="A8" s="8" t="s">
        <v>9</v>
      </c>
      <c r="B8" s="9">
        <v>0.2</v>
      </c>
      <c r="C8" s="8" t="s">
        <v>10</v>
      </c>
    </row>
    <row r="9" spans="1:3" ht="15" customHeight="1" x14ac:dyDescent="0.3">
      <c r="A9" s="8" t="s">
        <v>11</v>
      </c>
      <c r="B9" s="10" t="s">
        <v>12</v>
      </c>
      <c r="C9" s="11" t="s">
        <v>13</v>
      </c>
    </row>
    <row r="10" spans="1:3" ht="15" customHeight="1" x14ac:dyDescent="0.3">
      <c r="A10" s="8" t="s">
        <v>14</v>
      </c>
      <c r="B10" s="10" t="s">
        <v>15</v>
      </c>
      <c r="C10" s="8" t="s">
        <v>16</v>
      </c>
    </row>
    <row r="11" spans="1:3" ht="15" customHeight="1" x14ac:dyDescent="0.3">
      <c r="A11" s="8" t="s">
        <v>17</v>
      </c>
      <c r="B11" s="10" t="s">
        <v>18</v>
      </c>
      <c r="C11" s="8" t="s">
        <v>19</v>
      </c>
    </row>
    <row r="12" spans="1:3" ht="7.5" customHeight="1" x14ac:dyDescent="0.3"/>
    <row r="13" spans="1:3" ht="15" customHeight="1" x14ac:dyDescent="0.3">
      <c r="A13" s="5" t="s">
        <v>20</v>
      </c>
      <c r="B13" s="5"/>
      <c r="C13" s="5"/>
    </row>
    <row r="14" spans="1:3" ht="15" customHeight="1" x14ac:dyDescent="0.3">
      <c r="A14" s="12" t="s">
        <v>21</v>
      </c>
      <c r="B14" s="12" t="s">
        <v>22</v>
      </c>
      <c r="C14" s="13" t="s">
        <v>23</v>
      </c>
    </row>
    <row r="15" spans="1:3" ht="15" customHeight="1" x14ac:dyDescent="0.3">
      <c r="A15" s="8" t="s">
        <v>24</v>
      </c>
      <c r="B15" s="14">
        <f>'Data &amp; Models'!D504</f>
        <v>11.372053872053872</v>
      </c>
      <c r="C15" s="14">
        <f>'Data &amp; Models'!I504</f>
        <v>20.908855319750643</v>
      </c>
    </row>
    <row r="16" spans="1:3" ht="15" customHeight="1" x14ac:dyDescent="0.3">
      <c r="A16" s="8" t="s">
        <v>25</v>
      </c>
      <c r="B16" s="14">
        <f>'Data &amp; Models'!D505</f>
        <v>339.80717350038594</v>
      </c>
      <c r="C16" s="14">
        <f>'Data &amp; Models'!I505</f>
        <v>314.49080465450874</v>
      </c>
    </row>
    <row r="17" spans="1:3" ht="15" customHeight="1" x14ac:dyDescent="0.3">
      <c r="A17" s="8" t="s">
        <v>26</v>
      </c>
      <c r="B17" s="14">
        <f>'Data &amp; Models'!D506</f>
        <v>-712.25</v>
      </c>
      <c r="C17" s="14">
        <f>'Data &amp; Models'!I506</f>
        <v>-619.41414898134053</v>
      </c>
    </row>
    <row r="18" spans="1:3" ht="15" customHeight="1" x14ac:dyDescent="0.3">
      <c r="A18" s="8" t="s">
        <v>27</v>
      </c>
      <c r="B18" s="14">
        <f>'Data &amp; Models'!D507</f>
        <v>768.75</v>
      </c>
      <c r="C18" s="14">
        <f>'Data &amp; Models'!I507</f>
        <v>690.67558130226871</v>
      </c>
    </row>
    <row r="19" spans="1:3" ht="15" customHeight="1" x14ac:dyDescent="0.3">
      <c r="A19" s="8" t="s">
        <v>28</v>
      </c>
      <c r="B19" s="14">
        <f>'Data &amp; Models'!D508</f>
        <v>11707.158086877374</v>
      </c>
      <c r="C19" s="14" t="s">
        <v>29</v>
      </c>
    </row>
  </sheetData>
  <mergeCells count="3">
    <mergeCell ref="A1:C1"/>
    <mergeCell ref="A3:C3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9"/>
  <sheetViews>
    <sheetView showGridLines="0" tabSelected="1" zoomScale="85" zoomScaleNormal="85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1" customWidth="1"/>
    <col min="3" max="3" width="14" customWidth="1"/>
    <col min="4" max="4" width="13" customWidth="1"/>
    <col min="5" max="6" width="14" customWidth="1"/>
    <col min="7" max="7" width="2" customWidth="1"/>
    <col min="8" max="8" width="15" customWidth="1"/>
    <col min="9" max="9" width="13" customWidth="1"/>
  </cols>
  <sheetData>
    <row r="1" spans="1:9" ht="19.5" customHeight="1" x14ac:dyDescent="0.3">
      <c r="A1" s="5" t="s">
        <v>30</v>
      </c>
      <c r="B1" s="5"/>
      <c r="C1" s="5"/>
      <c r="D1" s="5"/>
      <c r="E1" s="5"/>
      <c r="F1" s="5"/>
      <c r="G1" s="15"/>
      <c r="H1" s="4" t="s">
        <v>31</v>
      </c>
      <c r="I1" s="4"/>
    </row>
    <row r="2" spans="1:9" ht="30" customHeight="1" x14ac:dyDescent="0.3">
      <c r="A2" s="12" t="s">
        <v>32</v>
      </c>
      <c r="B2" s="12" t="s">
        <v>33</v>
      </c>
      <c r="C2" s="12" t="s">
        <v>34</v>
      </c>
      <c r="D2" s="12" t="s">
        <v>35</v>
      </c>
      <c r="E2" s="12" t="s">
        <v>36</v>
      </c>
      <c r="F2" s="12" t="s">
        <v>37</v>
      </c>
      <c r="G2" s="16"/>
      <c r="H2" s="13" t="s">
        <v>38</v>
      </c>
      <c r="I2" s="13" t="s">
        <v>35</v>
      </c>
    </row>
    <row r="3" spans="1:9" ht="15" customHeight="1" x14ac:dyDescent="0.3">
      <c r="A3" s="17">
        <v>1</v>
      </c>
      <c r="B3" s="17">
        <v>1974</v>
      </c>
      <c r="C3" s="18"/>
      <c r="D3" s="18"/>
      <c r="E3" s="18"/>
      <c r="F3" s="18"/>
      <c r="G3" s="19"/>
      <c r="H3" s="20">
        <v>1974</v>
      </c>
      <c r="I3" s="21"/>
    </row>
    <row r="4" spans="1:9" ht="15" customHeight="1" x14ac:dyDescent="0.3">
      <c r="A4" s="17">
        <v>2</v>
      </c>
      <c r="B4" s="17">
        <v>1919</v>
      </c>
      <c r="C4" s="22"/>
      <c r="D4" s="22"/>
      <c r="E4" s="22"/>
      <c r="F4" s="22"/>
      <c r="G4" s="19"/>
      <c r="H4" s="23">
        <f t="shared" ref="H4:H67" si="0">0.2*B3+0.8*H3</f>
        <v>1974</v>
      </c>
      <c r="I4" s="23">
        <f t="shared" ref="I4:I67" si="1">B4-H4</f>
        <v>-55</v>
      </c>
    </row>
    <row r="5" spans="1:9" ht="15" customHeight="1" x14ac:dyDescent="0.3">
      <c r="A5" s="17">
        <v>3</v>
      </c>
      <c r="B5" s="17">
        <v>1731</v>
      </c>
      <c r="C5" s="18"/>
      <c r="D5" s="18"/>
      <c r="E5" s="18"/>
      <c r="F5" s="18"/>
      <c r="G5" s="19"/>
      <c r="H5" s="20">
        <f t="shared" si="0"/>
        <v>1963</v>
      </c>
      <c r="I5" s="20">
        <f t="shared" si="1"/>
        <v>-232</v>
      </c>
    </row>
    <row r="6" spans="1:9" ht="15" customHeight="1" x14ac:dyDescent="0.3">
      <c r="A6" s="17">
        <v>4</v>
      </c>
      <c r="B6" s="17">
        <v>1668</v>
      </c>
      <c r="C6" s="22"/>
      <c r="D6" s="22"/>
      <c r="E6" s="22"/>
      <c r="F6" s="22"/>
      <c r="G6" s="19"/>
      <c r="H6" s="23">
        <f t="shared" si="0"/>
        <v>1916.6000000000001</v>
      </c>
      <c r="I6" s="23">
        <f t="shared" si="1"/>
        <v>-248.60000000000014</v>
      </c>
    </row>
    <row r="7" spans="1:9" ht="15" customHeight="1" x14ac:dyDescent="0.3">
      <c r="A7" s="17">
        <v>5</v>
      </c>
      <c r="B7" s="17">
        <v>1895</v>
      </c>
      <c r="C7" s="24">
        <f t="shared" ref="C7:C70" si="2">AVERAGE(B3:B6)</f>
        <v>1823</v>
      </c>
      <c r="D7" s="24">
        <f t="shared" ref="D7:D70" si="3">B7-C7</f>
        <v>72</v>
      </c>
      <c r="E7" s="24">
        <f t="shared" ref="E7:E70" si="4">$C$502+D7</f>
        <v>3956.5</v>
      </c>
      <c r="F7" s="25">
        <f t="shared" ref="F7:F70" si="5">4*MIN(E7,$E$509)-0.8*$E$509</f>
        <v>12056.982955201234</v>
      </c>
      <c r="G7" s="19"/>
      <c r="H7" s="20">
        <f t="shared" si="0"/>
        <v>1866.88</v>
      </c>
      <c r="I7" s="20">
        <f t="shared" si="1"/>
        <v>28.119999999999891</v>
      </c>
    </row>
    <row r="8" spans="1:9" ht="15" customHeight="1" x14ac:dyDescent="0.3">
      <c r="A8" s="17">
        <v>6</v>
      </c>
      <c r="B8" s="17">
        <v>2369</v>
      </c>
      <c r="C8" s="23">
        <f t="shared" si="2"/>
        <v>1803.25</v>
      </c>
      <c r="D8" s="23">
        <f t="shared" si="3"/>
        <v>565.75</v>
      </c>
      <c r="E8" s="23">
        <f t="shared" si="4"/>
        <v>4450.25</v>
      </c>
      <c r="F8" s="26">
        <f t="shared" si="5"/>
        <v>12056.982955201234</v>
      </c>
      <c r="G8" s="19"/>
      <c r="H8" s="23">
        <f t="shared" si="0"/>
        <v>1872.5040000000001</v>
      </c>
      <c r="I8" s="23">
        <f t="shared" si="1"/>
        <v>496.49599999999987</v>
      </c>
    </row>
    <row r="9" spans="1:9" ht="15" customHeight="1" x14ac:dyDescent="0.3">
      <c r="A9" s="17">
        <v>7</v>
      </c>
      <c r="B9" s="17">
        <v>1606</v>
      </c>
      <c r="C9" s="24">
        <f t="shared" si="2"/>
        <v>1915.75</v>
      </c>
      <c r="D9" s="24">
        <f t="shared" si="3"/>
        <v>-309.75</v>
      </c>
      <c r="E9" s="24">
        <f t="shared" si="4"/>
        <v>3574.75</v>
      </c>
      <c r="F9" s="25">
        <f t="shared" si="5"/>
        <v>11284.754261199691</v>
      </c>
      <c r="G9" s="19"/>
      <c r="H9" s="20">
        <f t="shared" si="0"/>
        <v>1971.8032000000001</v>
      </c>
      <c r="I9" s="20">
        <f t="shared" si="1"/>
        <v>-365.80320000000006</v>
      </c>
    </row>
    <row r="10" spans="1:9" ht="15" customHeight="1" x14ac:dyDescent="0.3">
      <c r="A10" s="17">
        <v>8</v>
      </c>
      <c r="B10" s="17">
        <v>2468</v>
      </c>
      <c r="C10" s="23">
        <f t="shared" si="2"/>
        <v>1884.5</v>
      </c>
      <c r="D10" s="23">
        <f t="shared" si="3"/>
        <v>583.5</v>
      </c>
      <c r="E10" s="23">
        <f t="shared" si="4"/>
        <v>4468</v>
      </c>
      <c r="F10" s="26">
        <f t="shared" si="5"/>
        <v>12056.982955201234</v>
      </c>
      <c r="G10" s="19"/>
      <c r="H10" s="23">
        <f t="shared" si="0"/>
        <v>1898.6425600000002</v>
      </c>
      <c r="I10" s="23">
        <f t="shared" si="1"/>
        <v>569.35743999999977</v>
      </c>
    </row>
    <row r="11" spans="1:9" ht="15" customHeight="1" x14ac:dyDescent="0.3">
      <c r="A11" s="17">
        <v>9</v>
      </c>
      <c r="B11" s="17">
        <v>2168</v>
      </c>
      <c r="C11" s="24">
        <f t="shared" si="2"/>
        <v>2084.5</v>
      </c>
      <c r="D11" s="24">
        <f t="shared" si="3"/>
        <v>83.5</v>
      </c>
      <c r="E11" s="24">
        <f t="shared" si="4"/>
        <v>3968</v>
      </c>
      <c r="F11" s="25">
        <f t="shared" si="5"/>
        <v>12056.982955201234</v>
      </c>
      <c r="G11" s="19"/>
      <c r="H11" s="20">
        <f t="shared" si="0"/>
        <v>2012.5140480000005</v>
      </c>
      <c r="I11" s="20">
        <f t="shared" si="1"/>
        <v>155.48595199999954</v>
      </c>
    </row>
    <row r="12" spans="1:9" ht="15" customHeight="1" x14ac:dyDescent="0.3">
      <c r="A12" s="17">
        <v>10</v>
      </c>
      <c r="B12" s="17">
        <v>2535</v>
      </c>
      <c r="C12" s="23">
        <f t="shared" si="2"/>
        <v>2152.75</v>
      </c>
      <c r="D12" s="23">
        <f t="shared" si="3"/>
        <v>382.25</v>
      </c>
      <c r="E12" s="23">
        <f t="shared" si="4"/>
        <v>4266.75</v>
      </c>
      <c r="F12" s="26">
        <f t="shared" si="5"/>
        <v>12056.982955201234</v>
      </c>
      <c r="G12" s="19"/>
      <c r="H12" s="23">
        <f t="shared" si="0"/>
        <v>2043.6112384000003</v>
      </c>
      <c r="I12" s="23">
        <f t="shared" si="1"/>
        <v>491.38876159999973</v>
      </c>
    </row>
    <row r="13" spans="1:9" ht="15" customHeight="1" x14ac:dyDescent="0.3">
      <c r="A13" s="17">
        <v>11</v>
      </c>
      <c r="B13" s="17">
        <v>1835</v>
      </c>
      <c r="C13" s="24">
        <f t="shared" si="2"/>
        <v>2194.25</v>
      </c>
      <c r="D13" s="24">
        <f t="shared" si="3"/>
        <v>-359.25</v>
      </c>
      <c r="E13" s="24">
        <f t="shared" si="4"/>
        <v>3525.25</v>
      </c>
      <c r="F13" s="25">
        <f t="shared" si="5"/>
        <v>11086.754261199691</v>
      </c>
      <c r="G13" s="19"/>
      <c r="H13" s="20">
        <f t="shared" si="0"/>
        <v>2141.88899072</v>
      </c>
      <c r="I13" s="20">
        <f t="shared" si="1"/>
        <v>-306.88899072000004</v>
      </c>
    </row>
    <row r="14" spans="1:9" ht="15" customHeight="1" x14ac:dyDescent="0.3">
      <c r="A14" s="17">
        <v>12</v>
      </c>
      <c r="B14" s="17">
        <v>2355</v>
      </c>
      <c r="C14" s="23">
        <f t="shared" si="2"/>
        <v>2251.5</v>
      </c>
      <c r="D14" s="23">
        <f t="shared" si="3"/>
        <v>103.5</v>
      </c>
      <c r="E14" s="23">
        <f t="shared" si="4"/>
        <v>3988</v>
      </c>
      <c r="F14" s="26">
        <f t="shared" si="5"/>
        <v>12056.982955201234</v>
      </c>
      <c r="G14" s="19"/>
      <c r="H14" s="23">
        <f t="shared" si="0"/>
        <v>2080.5111925760002</v>
      </c>
      <c r="I14" s="23">
        <f t="shared" si="1"/>
        <v>274.48880742399979</v>
      </c>
    </row>
    <row r="15" spans="1:9" ht="15" customHeight="1" x14ac:dyDescent="0.3">
      <c r="A15" s="17">
        <v>13</v>
      </c>
      <c r="B15" s="17">
        <v>1640</v>
      </c>
      <c r="C15" s="24">
        <f t="shared" si="2"/>
        <v>2223.25</v>
      </c>
      <c r="D15" s="24">
        <f t="shared" si="3"/>
        <v>-583.25</v>
      </c>
      <c r="E15" s="24">
        <f t="shared" si="4"/>
        <v>3301.25</v>
      </c>
      <c r="F15" s="25">
        <f t="shared" si="5"/>
        <v>10190.754261199691</v>
      </c>
      <c r="G15" s="19"/>
      <c r="H15" s="20">
        <f t="shared" si="0"/>
        <v>2135.4089540608002</v>
      </c>
      <c r="I15" s="20">
        <f t="shared" si="1"/>
        <v>-495.40895406080017</v>
      </c>
    </row>
    <row r="16" spans="1:9" ht="15" customHeight="1" x14ac:dyDescent="0.3">
      <c r="A16" s="17">
        <v>14</v>
      </c>
      <c r="B16" s="17">
        <v>2026</v>
      </c>
      <c r="C16" s="23">
        <f t="shared" si="2"/>
        <v>2091.25</v>
      </c>
      <c r="D16" s="23">
        <f t="shared" si="3"/>
        <v>-65.25</v>
      </c>
      <c r="E16" s="23">
        <f t="shared" si="4"/>
        <v>3819.25</v>
      </c>
      <c r="F16" s="26">
        <f t="shared" si="5"/>
        <v>12056.982955201234</v>
      </c>
      <c r="G16" s="19"/>
      <c r="H16" s="23">
        <f t="shared" si="0"/>
        <v>2036.3271632486403</v>
      </c>
      <c r="I16" s="23">
        <f t="shared" si="1"/>
        <v>-10.327163248640318</v>
      </c>
    </row>
    <row r="17" spans="1:9" ht="15" customHeight="1" x14ac:dyDescent="0.3">
      <c r="A17" s="17">
        <v>15</v>
      </c>
      <c r="B17" s="17">
        <v>2209</v>
      </c>
      <c r="C17" s="24">
        <f t="shared" si="2"/>
        <v>1964</v>
      </c>
      <c r="D17" s="24">
        <f t="shared" si="3"/>
        <v>245</v>
      </c>
      <c r="E17" s="24">
        <f t="shared" si="4"/>
        <v>4129.5</v>
      </c>
      <c r="F17" s="25">
        <f t="shared" si="5"/>
        <v>12056.982955201234</v>
      </c>
      <c r="G17" s="19"/>
      <c r="H17" s="20">
        <f t="shared" si="0"/>
        <v>2034.2617305989124</v>
      </c>
      <c r="I17" s="20">
        <f t="shared" si="1"/>
        <v>174.73826940108756</v>
      </c>
    </row>
    <row r="18" spans="1:9" ht="15" customHeight="1" x14ac:dyDescent="0.3">
      <c r="A18" s="17">
        <v>16</v>
      </c>
      <c r="B18" s="17">
        <v>1845</v>
      </c>
      <c r="C18" s="23">
        <f t="shared" si="2"/>
        <v>2057.5</v>
      </c>
      <c r="D18" s="23">
        <f t="shared" si="3"/>
        <v>-212.5</v>
      </c>
      <c r="E18" s="23">
        <f t="shared" si="4"/>
        <v>3672</v>
      </c>
      <c r="F18" s="26">
        <f t="shared" si="5"/>
        <v>11673.754261199691</v>
      </c>
      <c r="G18" s="19"/>
      <c r="H18" s="23">
        <f t="shared" si="0"/>
        <v>2069.2093844791302</v>
      </c>
      <c r="I18" s="23">
        <f t="shared" si="1"/>
        <v>-224.20938447913022</v>
      </c>
    </row>
    <row r="19" spans="1:9" ht="15" customHeight="1" x14ac:dyDescent="0.3">
      <c r="A19" s="17">
        <v>17</v>
      </c>
      <c r="B19" s="17">
        <v>1701</v>
      </c>
      <c r="C19" s="24">
        <f t="shared" si="2"/>
        <v>1930</v>
      </c>
      <c r="D19" s="24">
        <f t="shared" si="3"/>
        <v>-229</v>
      </c>
      <c r="E19" s="24">
        <f t="shared" si="4"/>
        <v>3655.5</v>
      </c>
      <c r="F19" s="25">
        <f t="shared" si="5"/>
        <v>11607.754261199691</v>
      </c>
      <c r="G19" s="19"/>
      <c r="H19" s="20">
        <f t="shared" si="0"/>
        <v>2024.3675075833044</v>
      </c>
      <c r="I19" s="20">
        <f t="shared" si="1"/>
        <v>-323.36750758330436</v>
      </c>
    </row>
    <row r="20" spans="1:9" ht="15" customHeight="1" x14ac:dyDescent="0.3">
      <c r="A20" s="17">
        <v>18</v>
      </c>
      <c r="B20" s="17">
        <v>1938</v>
      </c>
      <c r="C20" s="23">
        <f t="shared" si="2"/>
        <v>1945.25</v>
      </c>
      <c r="D20" s="23">
        <f t="shared" si="3"/>
        <v>-7.25</v>
      </c>
      <c r="E20" s="23">
        <f t="shared" si="4"/>
        <v>3877.25</v>
      </c>
      <c r="F20" s="26">
        <f t="shared" si="5"/>
        <v>12056.982955201234</v>
      </c>
      <c r="G20" s="19"/>
      <c r="H20" s="23">
        <f t="shared" si="0"/>
        <v>1959.6940060666436</v>
      </c>
      <c r="I20" s="23">
        <f t="shared" si="1"/>
        <v>-21.694006066643624</v>
      </c>
    </row>
    <row r="21" spans="1:9" ht="15" customHeight="1" x14ac:dyDescent="0.3">
      <c r="A21" s="17">
        <v>19</v>
      </c>
      <c r="B21" s="17">
        <v>2521</v>
      </c>
      <c r="C21" s="24">
        <f t="shared" si="2"/>
        <v>1923.25</v>
      </c>
      <c r="D21" s="24">
        <f t="shared" si="3"/>
        <v>597.75</v>
      </c>
      <c r="E21" s="24">
        <f t="shared" si="4"/>
        <v>4482.25</v>
      </c>
      <c r="F21" s="25">
        <f t="shared" si="5"/>
        <v>12056.982955201234</v>
      </c>
      <c r="G21" s="19"/>
      <c r="H21" s="20">
        <f t="shared" si="0"/>
        <v>1955.3552048533152</v>
      </c>
      <c r="I21" s="20">
        <f t="shared" si="1"/>
        <v>565.64479514668483</v>
      </c>
    </row>
    <row r="22" spans="1:9" ht="15" customHeight="1" x14ac:dyDescent="0.3">
      <c r="A22" s="17">
        <v>20</v>
      </c>
      <c r="B22" s="17">
        <v>2104</v>
      </c>
      <c r="C22" s="23">
        <f t="shared" si="2"/>
        <v>2001.25</v>
      </c>
      <c r="D22" s="23">
        <f t="shared" si="3"/>
        <v>102.75</v>
      </c>
      <c r="E22" s="23">
        <f t="shared" si="4"/>
        <v>3987.25</v>
      </c>
      <c r="F22" s="26">
        <f t="shared" si="5"/>
        <v>12056.982955201234</v>
      </c>
      <c r="G22" s="19"/>
      <c r="H22" s="23">
        <f t="shared" si="0"/>
        <v>2068.484163882652</v>
      </c>
      <c r="I22" s="23">
        <f t="shared" si="1"/>
        <v>35.515836117348044</v>
      </c>
    </row>
    <row r="23" spans="1:9" ht="15" customHeight="1" x14ac:dyDescent="0.3">
      <c r="A23" s="17">
        <v>21</v>
      </c>
      <c r="B23" s="17">
        <v>1754</v>
      </c>
      <c r="C23" s="24">
        <f t="shared" si="2"/>
        <v>2066</v>
      </c>
      <c r="D23" s="24">
        <f t="shared" si="3"/>
        <v>-312</v>
      </c>
      <c r="E23" s="24">
        <f t="shared" si="4"/>
        <v>3572.5</v>
      </c>
      <c r="F23" s="25">
        <f t="shared" si="5"/>
        <v>11275.754261199691</v>
      </c>
      <c r="G23" s="19"/>
      <c r="H23" s="20">
        <f t="shared" si="0"/>
        <v>2075.5873311061218</v>
      </c>
      <c r="I23" s="20">
        <f t="shared" si="1"/>
        <v>-321.58733110612184</v>
      </c>
    </row>
    <row r="24" spans="1:9" ht="15" customHeight="1" x14ac:dyDescent="0.3">
      <c r="A24" s="17">
        <v>22</v>
      </c>
      <c r="B24" s="17">
        <v>2314</v>
      </c>
      <c r="C24" s="23">
        <f t="shared" si="2"/>
        <v>2079.25</v>
      </c>
      <c r="D24" s="23">
        <f t="shared" si="3"/>
        <v>234.75</v>
      </c>
      <c r="E24" s="23">
        <f t="shared" si="4"/>
        <v>4119.25</v>
      </c>
      <c r="F24" s="26">
        <f t="shared" si="5"/>
        <v>12056.982955201234</v>
      </c>
      <c r="G24" s="19"/>
      <c r="H24" s="23">
        <f t="shared" si="0"/>
        <v>2011.2698648848975</v>
      </c>
      <c r="I24" s="23">
        <f t="shared" si="1"/>
        <v>302.73013511510248</v>
      </c>
    </row>
    <row r="25" spans="1:9" ht="15" customHeight="1" x14ac:dyDescent="0.3">
      <c r="A25" s="17">
        <v>23</v>
      </c>
      <c r="B25" s="17">
        <v>1948</v>
      </c>
      <c r="C25" s="24">
        <f t="shared" si="2"/>
        <v>2173.25</v>
      </c>
      <c r="D25" s="24">
        <f t="shared" si="3"/>
        <v>-225.25</v>
      </c>
      <c r="E25" s="24">
        <f t="shared" si="4"/>
        <v>3659.25</v>
      </c>
      <c r="F25" s="25">
        <f t="shared" si="5"/>
        <v>11622.754261199691</v>
      </c>
      <c r="G25" s="19"/>
      <c r="H25" s="20">
        <f t="shared" si="0"/>
        <v>2071.8158919079183</v>
      </c>
      <c r="I25" s="20">
        <f t="shared" si="1"/>
        <v>-123.81589190791829</v>
      </c>
    </row>
    <row r="26" spans="1:9" ht="15" customHeight="1" x14ac:dyDescent="0.3">
      <c r="A26" s="17">
        <v>24</v>
      </c>
      <c r="B26" s="17">
        <v>2052</v>
      </c>
      <c r="C26" s="23">
        <f t="shared" si="2"/>
        <v>2030</v>
      </c>
      <c r="D26" s="23">
        <f t="shared" si="3"/>
        <v>22</v>
      </c>
      <c r="E26" s="23">
        <f t="shared" si="4"/>
        <v>3906.5</v>
      </c>
      <c r="F26" s="26">
        <f t="shared" si="5"/>
        <v>12056.982955201234</v>
      </c>
      <c r="G26" s="19"/>
      <c r="H26" s="23">
        <f t="shared" si="0"/>
        <v>2047.0527135263346</v>
      </c>
      <c r="I26" s="23">
        <f t="shared" si="1"/>
        <v>4.9472864736653719</v>
      </c>
    </row>
    <row r="27" spans="1:9" ht="15" customHeight="1" x14ac:dyDescent="0.3">
      <c r="A27" s="17">
        <v>25</v>
      </c>
      <c r="B27" s="17">
        <v>2270</v>
      </c>
      <c r="C27" s="24">
        <f t="shared" si="2"/>
        <v>2017</v>
      </c>
      <c r="D27" s="24">
        <f t="shared" si="3"/>
        <v>253</v>
      </c>
      <c r="E27" s="24">
        <f t="shared" si="4"/>
        <v>4137.5</v>
      </c>
      <c r="F27" s="25">
        <f t="shared" si="5"/>
        <v>12056.982955201234</v>
      </c>
      <c r="G27" s="19"/>
      <c r="H27" s="20">
        <f t="shared" si="0"/>
        <v>2048.0421708210679</v>
      </c>
      <c r="I27" s="20">
        <f t="shared" si="1"/>
        <v>221.95782917893212</v>
      </c>
    </row>
    <row r="28" spans="1:9" ht="15" customHeight="1" x14ac:dyDescent="0.3">
      <c r="A28" s="17">
        <v>26</v>
      </c>
      <c r="B28" s="17">
        <v>1613</v>
      </c>
      <c r="C28" s="23">
        <f t="shared" si="2"/>
        <v>2146</v>
      </c>
      <c r="D28" s="23">
        <f t="shared" si="3"/>
        <v>-533</v>
      </c>
      <c r="E28" s="23">
        <f t="shared" si="4"/>
        <v>3351.5</v>
      </c>
      <c r="F28" s="26">
        <f t="shared" si="5"/>
        <v>10391.754261199691</v>
      </c>
      <c r="G28" s="19"/>
      <c r="H28" s="23">
        <f t="shared" si="0"/>
        <v>2092.4337366568543</v>
      </c>
      <c r="I28" s="23">
        <f t="shared" si="1"/>
        <v>-479.43373665685431</v>
      </c>
    </row>
    <row r="29" spans="1:9" ht="15" customHeight="1" x14ac:dyDescent="0.3">
      <c r="A29" s="17">
        <v>27</v>
      </c>
      <c r="B29" s="17">
        <v>1826</v>
      </c>
      <c r="C29" s="24">
        <f t="shared" si="2"/>
        <v>1970.75</v>
      </c>
      <c r="D29" s="24">
        <f t="shared" si="3"/>
        <v>-144.75</v>
      </c>
      <c r="E29" s="24">
        <f t="shared" si="4"/>
        <v>3739.75</v>
      </c>
      <c r="F29" s="25">
        <f t="shared" si="5"/>
        <v>11944.754261199691</v>
      </c>
      <c r="G29" s="19"/>
      <c r="H29" s="20">
        <f t="shared" si="0"/>
        <v>1996.5469893254835</v>
      </c>
      <c r="I29" s="20">
        <f t="shared" si="1"/>
        <v>-170.54698932548354</v>
      </c>
    </row>
    <row r="30" spans="1:9" ht="15" customHeight="1" x14ac:dyDescent="0.3">
      <c r="A30" s="17">
        <v>28</v>
      </c>
      <c r="B30" s="17">
        <v>2386</v>
      </c>
      <c r="C30" s="23">
        <f t="shared" si="2"/>
        <v>1940.25</v>
      </c>
      <c r="D30" s="23">
        <f t="shared" si="3"/>
        <v>445.75</v>
      </c>
      <c r="E30" s="23">
        <f t="shared" si="4"/>
        <v>4330.25</v>
      </c>
      <c r="F30" s="26">
        <f t="shared" si="5"/>
        <v>12056.982955201234</v>
      </c>
      <c r="G30" s="19"/>
      <c r="H30" s="23">
        <f t="shared" si="0"/>
        <v>1962.437591460387</v>
      </c>
      <c r="I30" s="23">
        <f t="shared" si="1"/>
        <v>423.56240853961299</v>
      </c>
    </row>
    <row r="31" spans="1:9" ht="15" customHeight="1" x14ac:dyDescent="0.3">
      <c r="A31" s="17">
        <v>29</v>
      </c>
      <c r="B31" s="17">
        <v>2391</v>
      </c>
      <c r="C31" s="24">
        <f t="shared" si="2"/>
        <v>2023.75</v>
      </c>
      <c r="D31" s="24">
        <f t="shared" si="3"/>
        <v>367.25</v>
      </c>
      <c r="E31" s="24">
        <f t="shared" si="4"/>
        <v>4251.75</v>
      </c>
      <c r="F31" s="25">
        <f t="shared" si="5"/>
        <v>12056.982955201234</v>
      </c>
      <c r="G31" s="19"/>
      <c r="H31" s="20">
        <f t="shared" si="0"/>
        <v>2047.1500731683097</v>
      </c>
      <c r="I31" s="20">
        <f t="shared" si="1"/>
        <v>343.84992683169025</v>
      </c>
    </row>
    <row r="32" spans="1:9" ht="15" customHeight="1" x14ac:dyDescent="0.3">
      <c r="A32" s="17">
        <v>30</v>
      </c>
      <c r="B32" s="17">
        <v>2539</v>
      </c>
      <c r="C32" s="23">
        <f t="shared" si="2"/>
        <v>2054</v>
      </c>
      <c r="D32" s="23">
        <f t="shared" si="3"/>
        <v>485</v>
      </c>
      <c r="E32" s="23">
        <f t="shared" si="4"/>
        <v>4369.5</v>
      </c>
      <c r="F32" s="26">
        <f t="shared" si="5"/>
        <v>12056.982955201234</v>
      </c>
      <c r="G32" s="19"/>
      <c r="H32" s="23">
        <f t="shared" si="0"/>
        <v>2115.920058534648</v>
      </c>
      <c r="I32" s="23">
        <f t="shared" si="1"/>
        <v>423.07994146535202</v>
      </c>
    </row>
    <row r="33" spans="1:9" ht="15" customHeight="1" x14ac:dyDescent="0.3">
      <c r="A33" s="17">
        <v>31</v>
      </c>
      <c r="B33" s="17">
        <v>2581</v>
      </c>
      <c r="C33" s="24">
        <f t="shared" si="2"/>
        <v>2285.5</v>
      </c>
      <c r="D33" s="24">
        <f t="shared" si="3"/>
        <v>295.5</v>
      </c>
      <c r="E33" s="24">
        <f t="shared" si="4"/>
        <v>4180</v>
      </c>
      <c r="F33" s="25">
        <f t="shared" si="5"/>
        <v>12056.982955201234</v>
      </c>
      <c r="G33" s="19"/>
      <c r="H33" s="20">
        <f t="shared" si="0"/>
        <v>2200.5360468277186</v>
      </c>
      <c r="I33" s="20">
        <f t="shared" si="1"/>
        <v>380.46395317228144</v>
      </c>
    </row>
    <row r="34" spans="1:9" ht="15" customHeight="1" x14ac:dyDescent="0.3">
      <c r="A34" s="17">
        <v>32</v>
      </c>
      <c r="B34" s="17">
        <v>2063</v>
      </c>
      <c r="C34" s="23">
        <f t="shared" si="2"/>
        <v>2474.25</v>
      </c>
      <c r="D34" s="23">
        <f t="shared" si="3"/>
        <v>-411.25</v>
      </c>
      <c r="E34" s="23">
        <f t="shared" si="4"/>
        <v>3473.25</v>
      </c>
      <c r="F34" s="26">
        <f t="shared" si="5"/>
        <v>10878.754261199691</v>
      </c>
      <c r="G34" s="19"/>
      <c r="H34" s="23">
        <f t="shared" si="0"/>
        <v>2276.6288374621749</v>
      </c>
      <c r="I34" s="23">
        <f t="shared" si="1"/>
        <v>-213.62883746217494</v>
      </c>
    </row>
    <row r="35" spans="1:9" ht="15" customHeight="1" x14ac:dyDescent="0.3">
      <c r="A35" s="17">
        <v>33</v>
      </c>
      <c r="B35" s="17">
        <v>1901</v>
      </c>
      <c r="C35" s="24">
        <f t="shared" si="2"/>
        <v>2393.5</v>
      </c>
      <c r="D35" s="24">
        <f t="shared" si="3"/>
        <v>-492.5</v>
      </c>
      <c r="E35" s="24">
        <f t="shared" si="4"/>
        <v>3392</v>
      </c>
      <c r="F35" s="25">
        <f t="shared" si="5"/>
        <v>10553.754261199691</v>
      </c>
      <c r="G35" s="19"/>
      <c r="H35" s="20">
        <f t="shared" si="0"/>
        <v>2233.90306996974</v>
      </c>
      <c r="I35" s="20">
        <f t="shared" si="1"/>
        <v>-332.90306996974005</v>
      </c>
    </row>
    <row r="36" spans="1:9" ht="15" customHeight="1" x14ac:dyDescent="0.3">
      <c r="A36" s="17">
        <v>34</v>
      </c>
      <c r="B36" s="17">
        <v>1661</v>
      </c>
      <c r="C36" s="23">
        <f t="shared" si="2"/>
        <v>2271</v>
      </c>
      <c r="D36" s="23">
        <f t="shared" si="3"/>
        <v>-610</v>
      </c>
      <c r="E36" s="23">
        <f t="shared" si="4"/>
        <v>3274.5</v>
      </c>
      <c r="F36" s="26">
        <f t="shared" si="5"/>
        <v>10083.754261199691</v>
      </c>
      <c r="G36" s="19"/>
      <c r="H36" s="23">
        <f t="shared" si="0"/>
        <v>2167.3224559757919</v>
      </c>
      <c r="I36" s="23">
        <f t="shared" si="1"/>
        <v>-506.32245597579185</v>
      </c>
    </row>
    <row r="37" spans="1:9" ht="15" customHeight="1" x14ac:dyDescent="0.3">
      <c r="A37" s="17">
        <v>35</v>
      </c>
      <c r="B37" s="17">
        <v>1836</v>
      </c>
      <c r="C37" s="24">
        <f t="shared" si="2"/>
        <v>2051.5</v>
      </c>
      <c r="D37" s="24">
        <f t="shared" si="3"/>
        <v>-215.5</v>
      </c>
      <c r="E37" s="24">
        <f t="shared" si="4"/>
        <v>3669</v>
      </c>
      <c r="F37" s="25">
        <f t="shared" si="5"/>
        <v>11661.754261199691</v>
      </c>
      <c r="G37" s="19"/>
      <c r="H37" s="20">
        <f t="shared" si="0"/>
        <v>2066.0579647806335</v>
      </c>
      <c r="I37" s="20">
        <f t="shared" si="1"/>
        <v>-230.05796478063348</v>
      </c>
    </row>
    <row r="38" spans="1:9" ht="15" customHeight="1" x14ac:dyDescent="0.3">
      <c r="A38" s="17">
        <v>36</v>
      </c>
      <c r="B38" s="17">
        <v>1740</v>
      </c>
      <c r="C38" s="23">
        <f t="shared" si="2"/>
        <v>1865.25</v>
      </c>
      <c r="D38" s="23">
        <f t="shared" si="3"/>
        <v>-125.25</v>
      </c>
      <c r="E38" s="23">
        <f t="shared" si="4"/>
        <v>3759.25</v>
      </c>
      <c r="F38" s="26">
        <f t="shared" si="5"/>
        <v>12022.754261199691</v>
      </c>
      <c r="G38" s="19"/>
      <c r="H38" s="23">
        <f t="shared" si="0"/>
        <v>2020.0463718245069</v>
      </c>
      <c r="I38" s="23">
        <f t="shared" si="1"/>
        <v>-280.04637182450688</v>
      </c>
    </row>
    <row r="39" spans="1:9" ht="15" customHeight="1" x14ac:dyDescent="0.3">
      <c r="A39" s="17">
        <v>37</v>
      </c>
      <c r="B39" s="17">
        <v>2119</v>
      </c>
      <c r="C39" s="24">
        <f t="shared" si="2"/>
        <v>1784.5</v>
      </c>
      <c r="D39" s="24">
        <f t="shared" si="3"/>
        <v>334.5</v>
      </c>
      <c r="E39" s="24">
        <f t="shared" si="4"/>
        <v>4219</v>
      </c>
      <c r="F39" s="25">
        <f t="shared" si="5"/>
        <v>12056.982955201234</v>
      </c>
      <c r="G39" s="19"/>
      <c r="H39" s="20">
        <f t="shared" si="0"/>
        <v>1964.0370974596055</v>
      </c>
      <c r="I39" s="20">
        <f t="shared" si="1"/>
        <v>154.96290254039445</v>
      </c>
    </row>
    <row r="40" spans="1:9" ht="15" customHeight="1" x14ac:dyDescent="0.3">
      <c r="A40" s="17">
        <v>38</v>
      </c>
      <c r="B40" s="17">
        <v>1770</v>
      </c>
      <c r="C40" s="23">
        <f t="shared" si="2"/>
        <v>1839</v>
      </c>
      <c r="D40" s="23">
        <f t="shared" si="3"/>
        <v>-69</v>
      </c>
      <c r="E40" s="23">
        <f t="shared" si="4"/>
        <v>3815.5</v>
      </c>
      <c r="F40" s="26">
        <f t="shared" si="5"/>
        <v>12056.982955201234</v>
      </c>
      <c r="G40" s="19"/>
      <c r="H40" s="23">
        <f t="shared" si="0"/>
        <v>1995.0296779676844</v>
      </c>
      <c r="I40" s="23">
        <f t="shared" si="1"/>
        <v>-225.02967796768439</v>
      </c>
    </row>
    <row r="41" spans="1:9" ht="15" customHeight="1" x14ac:dyDescent="0.3">
      <c r="A41" s="17">
        <v>39</v>
      </c>
      <c r="B41" s="17">
        <v>2292</v>
      </c>
      <c r="C41" s="24">
        <f t="shared" si="2"/>
        <v>1866.25</v>
      </c>
      <c r="D41" s="24">
        <f t="shared" si="3"/>
        <v>425.75</v>
      </c>
      <c r="E41" s="24">
        <f t="shared" si="4"/>
        <v>4310.25</v>
      </c>
      <c r="F41" s="25">
        <f t="shared" si="5"/>
        <v>12056.982955201234</v>
      </c>
      <c r="G41" s="19"/>
      <c r="H41" s="20">
        <f t="shared" si="0"/>
        <v>1950.0237423741476</v>
      </c>
      <c r="I41" s="20">
        <f t="shared" si="1"/>
        <v>341.97625762585244</v>
      </c>
    </row>
    <row r="42" spans="1:9" ht="15" customHeight="1" x14ac:dyDescent="0.3">
      <c r="A42" s="17">
        <v>40</v>
      </c>
      <c r="B42" s="17">
        <v>1669</v>
      </c>
      <c r="C42" s="23">
        <f t="shared" si="2"/>
        <v>1980.25</v>
      </c>
      <c r="D42" s="23">
        <f t="shared" si="3"/>
        <v>-311.25</v>
      </c>
      <c r="E42" s="23">
        <f t="shared" si="4"/>
        <v>3573.25</v>
      </c>
      <c r="F42" s="26">
        <f t="shared" si="5"/>
        <v>11278.754261199691</v>
      </c>
      <c r="G42" s="19"/>
      <c r="H42" s="23">
        <f t="shared" si="0"/>
        <v>2018.4189938993181</v>
      </c>
      <c r="I42" s="23">
        <f t="shared" si="1"/>
        <v>-349.41899389931814</v>
      </c>
    </row>
    <row r="43" spans="1:9" ht="15" customHeight="1" x14ac:dyDescent="0.3">
      <c r="A43" s="17">
        <v>41</v>
      </c>
      <c r="B43" s="17">
        <v>2143</v>
      </c>
      <c r="C43" s="24">
        <f t="shared" si="2"/>
        <v>1962.5</v>
      </c>
      <c r="D43" s="24">
        <f t="shared" si="3"/>
        <v>180.5</v>
      </c>
      <c r="E43" s="24">
        <f t="shared" si="4"/>
        <v>4065</v>
      </c>
      <c r="F43" s="25">
        <f t="shared" si="5"/>
        <v>12056.982955201234</v>
      </c>
      <c r="G43" s="19"/>
      <c r="H43" s="20">
        <f t="shared" si="0"/>
        <v>1948.5351951194546</v>
      </c>
      <c r="I43" s="20">
        <f t="shared" si="1"/>
        <v>194.46480488054544</v>
      </c>
    </row>
    <row r="44" spans="1:9" ht="15" customHeight="1" x14ac:dyDescent="0.3">
      <c r="A44" s="17">
        <v>42</v>
      </c>
      <c r="B44" s="17">
        <v>2153</v>
      </c>
      <c r="C44" s="23">
        <f t="shared" si="2"/>
        <v>1968.5</v>
      </c>
      <c r="D44" s="23">
        <f t="shared" si="3"/>
        <v>184.5</v>
      </c>
      <c r="E44" s="23">
        <f t="shared" si="4"/>
        <v>4069</v>
      </c>
      <c r="F44" s="26">
        <f t="shared" si="5"/>
        <v>12056.982955201234</v>
      </c>
      <c r="G44" s="19"/>
      <c r="H44" s="23">
        <f t="shared" si="0"/>
        <v>1987.4281560955637</v>
      </c>
      <c r="I44" s="23">
        <f t="shared" si="1"/>
        <v>165.57184390443626</v>
      </c>
    </row>
    <row r="45" spans="1:9" ht="15" customHeight="1" x14ac:dyDescent="0.3">
      <c r="A45" s="17">
        <v>43</v>
      </c>
      <c r="B45" s="17">
        <v>2302</v>
      </c>
      <c r="C45" s="24">
        <f t="shared" si="2"/>
        <v>2064.25</v>
      </c>
      <c r="D45" s="24">
        <f t="shared" si="3"/>
        <v>237.75</v>
      </c>
      <c r="E45" s="24">
        <f t="shared" si="4"/>
        <v>4122.25</v>
      </c>
      <c r="F45" s="25">
        <f t="shared" si="5"/>
        <v>12056.982955201234</v>
      </c>
      <c r="G45" s="19"/>
      <c r="H45" s="20">
        <f t="shared" si="0"/>
        <v>2020.5425248764509</v>
      </c>
      <c r="I45" s="20">
        <f t="shared" si="1"/>
        <v>281.4574751235491</v>
      </c>
    </row>
    <row r="46" spans="1:9" ht="15" customHeight="1" x14ac:dyDescent="0.3">
      <c r="A46" s="17">
        <v>44</v>
      </c>
      <c r="B46" s="17">
        <v>2132</v>
      </c>
      <c r="C46" s="23">
        <f t="shared" si="2"/>
        <v>2066.75</v>
      </c>
      <c r="D46" s="23">
        <f t="shared" si="3"/>
        <v>65.25</v>
      </c>
      <c r="E46" s="23">
        <f t="shared" si="4"/>
        <v>3949.75</v>
      </c>
      <c r="F46" s="26">
        <f t="shared" si="5"/>
        <v>12056.982955201234</v>
      </c>
      <c r="G46" s="19"/>
      <c r="H46" s="23">
        <f t="shared" si="0"/>
        <v>2076.8340199011609</v>
      </c>
      <c r="I46" s="23">
        <f t="shared" si="1"/>
        <v>55.1659800988391</v>
      </c>
    </row>
    <row r="47" spans="1:9" ht="15" customHeight="1" x14ac:dyDescent="0.3">
      <c r="A47" s="17">
        <v>45</v>
      </c>
      <c r="B47" s="17">
        <v>2409</v>
      </c>
      <c r="C47" s="24">
        <f t="shared" si="2"/>
        <v>2182.5</v>
      </c>
      <c r="D47" s="24">
        <f t="shared" si="3"/>
        <v>226.5</v>
      </c>
      <c r="E47" s="24">
        <f t="shared" si="4"/>
        <v>4111</v>
      </c>
      <c r="F47" s="25">
        <f t="shared" si="5"/>
        <v>12056.982955201234</v>
      </c>
      <c r="G47" s="19"/>
      <c r="H47" s="20">
        <f t="shared" si="0"/>
        <v>2087.8672159209286</v>
      </c>
      <c r="I47" s="20">
        <f t="shared" si="1"/>
        <v>321.13278407907137</v>
      </c>
    </row>
    <row r="48" spans="1:9" ht="15" customHeight="1" x14ac:dyDescent="0.3">
      <c r="A48" s="17">
        <v>46</v>
      </c>
      <c r="B48" s="17">
        <v>2192</v>
      </c>
      <c r="C48" s="23">
        <f t="shared" si="2"/>
        <v>2249</v>
      </c>
      <c r="D48" s="23">
        <f t="shared" si="3"/>
        <v>-57</v>
      </c>
      <c r="E48" s="23">
        <f t="shared" si="4"/>
        <v>3827.5</v>
      </c>
      <c r="F48" s="26">
        <f t="shared" si="5"/>
        <v>12056.982955201234</v>
      </c>
      <c r="G48" s="19"/>
      <c r="H48" s="23">
        <f t="shared" si="0"/>
        <v>2152.0937727367432</v>
      </c>
      <c r="I48" s="23">
        <f t="shared" si="1"/>
        <v>39.906227263256824</v>
      </c>
    </row>
    <row r="49" spans="1:9" ht="15" customHeight="1" x14ac:dyDescent="0.3">
      <c r="A49" s="17">
        <v>47</v>
      </c>
      <c r="B49" s="17">
        <v>2508</v>
      </c>
      <c r="C49" s="24">
        <f t="shared" si="2"/>
        <v>2258.75</v>
      </c>
      <c r="D49" s="24">
        <f t="shared" si="3"/>
        <v>249.25</v>
      </c>
      <c r="E49" s="24">
        <f t="shared" si="4"/>
        <v>4133.75</v>
      </c>
      <c r="F49" s="25">
        <f t="shared" si="5"/>
        <v>12056.982955201234</v>
      </c>
      <c r="G49" s="19"/>
      <c r="H49" s="20">
        <f t="shared" si="0"/>
        <v>2160.0750181893945</v>
      </c>
      <c r="I49" s="20">
        <f t="shared" si="1"/>
        <v>347.92498181060546</v>
      </c>
    </row>
    <row r="50" spans="1:9" ht="15" customHeight="1" x14ac:dyDescent="0.3">
      <c r="A50" s="17">
        <v>48</v>
      </c>
      <c r="B50" s="17">
        <v>2120</v>
      </c>
      <c r="C50" s="23">
        <f t="shared" si="2"/>
        <v>2310.25</v>
      </c>
      <c r="D50" s="23">
        <f t="shared" si="3"/>
        <v>-190.25</v>
      </c>
      <c r="E50" s="23">
        <f t="shared" si="4"/>
        <v>3694.25</v>
      </c>
      <c r="F50" s="26">
        <f t="shared" si="5"/>
        <v>11762.754261199691</v>
      </c>
      <c r="G50" s="19"/>
      <c r="H50" s="23">
        <f t="shared" si="0"/>
        <v>2229.6600145515158</v>
      </c>
      <c r="I50" s="23">
        <f t="shared" si="1"/>
        <v>-109.66001455151581</v>
      </c>
    </row>
    <row r="51" spans="1:9" ht="15" customHeight="1" x14ac:dyDescent="0.3">
      <c r="A51" s="17">
        <v>49</v>
      </c>
      <c r="B51" s="17">
        <v>1918</v>
      </c>
      <c r="C51" s="24">
        <f t="shared" si="2"/>
        <v>2307.25</v>
      </c>
      <c r="D51" s="24">
        <f t="shared" si="3"/>
        <v>-389.25</v>
      </c>
      <c r="E51" s="24">
        <f t="shared" si="4"/>
        <v>3495.25</v>
      </c>
      <c r="F51" s="25">
        <f t="shared" si="5"/>
        <v>10966.754261199691</v>
      </c>
      <c r="G51" s="19"/>
      <c r="H51" s="20">
        <f t="shared" si="0"/>
        <v>2207.728011641213</v>
      </c>
      <c r="I51" s="20">
        <f t="shared" si="1"/>
        <v>-289.72801164121302</v>
      </c>
    </row>
    <row r="52" spans="1:9" ht="15" customHeight="1" x14ac:dyDescent="0.3">
      <c r="A52" s="17">
        <v>50</v>
      </c>
      <c r="B52" s="17">
        <v>1951</v>
      </c>
      <c r="C52" s="23">
        <f t="shared" si="2"/>
        <v>2184.5</v>
      </c>
      <c r="D52" s="23">
        <f t="shared" si="3"/>
        <v>-233.5</v>
      </c>
      <c r="E52" s="23">
        <f t="shared" si="4"/>
        <v>3651</v>
      </c>
      <c r="F52" s="26">
        <f t="shared" si="5"/>
        <v>11589.754261199691</v>
      </c>
      <c r="G52" s="19"/>
      <c r="H52" s="23">
        <f t="shared" si="0"/>
        <v>2149.7824093129707</v>
      </c>
      <c r="I52" s="23">
        <f t="shared" si="1"/>
        <v>-198.78240931297069</v>
      </c>
    </row>
    <row r="53" spans="1:9" ht="15" customHeight="1" x14ac:dyDescent="0.3">
      <c r="A53" s="17">
        <v>51</v>
      </c>
      <c r="B53" s="17">
        <v>2277</v>
      </c>
      <c r="C53" s="24">
        <f t="shared" si="2"/>
        <v>2124.25</v>
      </c>
      <c r="D53" s="24">
        <f t="shared" si="3"/>
        <v>152.75</v>
      </c>
      <c r="E53" s="24">
        <f t="shared" si="4"/>
        <v>4037.25</v>
      </c>
      <c r="F53" s="25">
        <f t="shared" si="5"/>
        <v>12056.982955201234</v>
      </c>
      <c r="G53" s="19"/>
      <c r="H53" s="20">
        <f t="shared" si="0"/>
        <v>2110.0259274503769</v>
      </c>
      <c r="I53" s="20">
        <f t="shared" si="1"/>
        <v>166.97407254962309</v>
      </c>
    </row>
    <row r="54" spans="1:9" ht="15" customHeight="1" x14ac:dyDescent="0.3">
      <c r="A54" s="17">
        <v>52</v>
      </c>
      <c r="B54" s="17">
        <v>2507</v>
      </c>
      <c r="C54" s="23">
        <f t="shared" si="2"/>
        <v>2066.5</v>
      </c>
      <c r="D54" s="23">
        <f t="shared" si="3"/>
        <v>440.5</v>
      </c>
      <c r="E54" s="23">
        <f t="shared" si="4"/>
        <v>4325</v>
      </c>
      <c r="F54" s="26">
        <f t="shared" si="5"/>
        <v>12056.982955201234</v>
      </c>
      <c r="G54" s="19"/>
      <c r="H54" s="23">
        <f t="shared" si="0"/>
        <v>2143.4207419603017</v>
      </c>
      <c r="I54" s="23">
        <f t="shared" si="1"/>
        <v>363.57925803969829</v>
      </c>
    </row>
    <row r="55" spans="1:9" ht="15" customHeight="1" x14ac:dyDescent="0.3">
      <c r="A55" s="17">
        <v>53</v>
      </c>
      <c r="B55" s="17">
        <v>2205</v>
      </c>
      <c r="C55" s="24">
        <f t="shared" si="2"/>
        <v>2163.25</v>
      </c>
      <c r="D55" s="24">
        <f t="shared" si="3"/>
        <v>41.75</v>
      </c>
      <c r="E55" s="24">
        <f t="shared" si="4"/>
        <v>3926.25</v>
      </c>
      <c r="F55" s="25">
        <f t="shared" si="5"/>
        <v>12056.982955201234</v>
      </c>
      <c r="G55" s="19"/>
      <c r="H55" s="20">
        <f t="shared" si="0"/>
        <v>2216.1365935682416</v>
      </c>
      <c r="I55" s="20">
        <f t="shared" si="1"/>
        <v>-11.136593568241551</v>
      </c>
    </row>
    <row r="56" spans="1:9" ht="15" customHeight="1" x14ac:dyDescent="0.3">
      <c r="A56" s="17">
        <v>54</v>
      </c>
      <c r="B56" s="17">
        <v>1800</v>
      </c>
      <c r="C56" s="23">
        <f t="shared" si="2"/>
        <v>2235</v>
      </c>
      <c r="D56" s="23">
        <f t="shared" si="3"/>
        <v>-435</v>
      </c>
      <c r="E56" s="23">
        <f t="shared" si="4"/>
        <v>3449.5</v>
      </c>
      <c r="F56" s="26">
        <f t="shared" si="5"/>
        <v>10783.754261199691</v>
      </c>
      <c r="G56" s="19"/>
      <c r="H56" s="23">
        <f t="shared" si="0"/>
        <v>2213.9092748545936</v>
      </c>
      <c r="I56" s="23">
        <f t="shared" si="1"/>
        <v>-413.9092748545936</v>
      </c>
    </row>
    <row r="57" spans="1:9" ht="15" customHeight="1" x14ac:dyDescent="0.3">
      <c r="A57" s="17">
        <v>55</v>
      </c>
      <c r="B57" s="17">
        <v>1723</v>
      </c>
      <c r="C57" s="24">
        <f t="shared" si="2"/>
        <v>2197.25</v>
      </c>
      <c r="D57" s="24">
        <f t="shared" si="3"/>
        <v>-474.25</v>
      </c>
      <c r="E57" s="24">
        <f t="shared" si="4"/>
        <v>3410.25</v>
      </c>
      <c r="F57" s="25">
        <f t="shared" si="5"/>
        <v>10626.754261199691</v>
      </c>
      <c r="G57" s="19"/>
      <c r="H57" s="20">
        <f t="shared" si="0"/>
        <v>2131.127419883675</v>
      </c>
      <c r="I57" s="20">
        <f t="shared" si="1"/>
        <v>-408.12741988367497</v>
      </c>
    </row>
    <row r="58" spans="1:9" ht="15" customHeight="1" x14ac:dyDescent="0.3">
      <c r="A58" s="17">
        <v>56</v>
      </c>
      <c r="B58" s="17">
        <v>1889</v>
      </c>
      <c r="C58" s="23">
        <f t="shared" si="2"/>
        <v>2058.75</v>
      </c>
      <c r="D58" s="23">
        <f t="shared" si="3"/>
        <v>-169.75</v>
      </c>
      <c r="E58" s="23">
        <f t="shared" si="4"/>
        <v>3714.75</v>
      </c>
      <c r="F58" s="26">
        <f t="shared" si="5"/>
        <v>11844.754261199691</v>
      </c>
      <c r="G58" s="19"/>
      <c r="H58" s="23">
        <f t="shared" si="0"/>
        <v>2049.5019359069402</v>
      </c>
      <c r="I58" s="23">
        <f t="shared" si="1"/>
        <v>-160.50193590694016</v>
      </c>
    </row>
    <row r="59" spans="1:9" ht="15" customHeight="1" x14ac:dyDescent="0.3">
      <c r="A59" s="17">
        <v>57</v>
      </c>
      <c r="B59" s="17">
        <v>2103</v>
      </c>
      <c r="C59" s="24">
        <f t="shared" si="2"/>
        <v>1904.25</v>
      </c>
      <c r="D59" s="24">
        <f t="shared" si="3"/>
        <v>198.75</v>
      </c>
      <c r="E59" s="24">
        <f t="shared" si="4"/>
        <v>4083.25</v>
      </c>
      <c r="F59" s="25">
        <f t="shared" si="5"/>
        <v>12056.982955201234</v>
      </c>
      <c r="G59" s="19"/>
      <c r="H59" s="20">
        <f t="shared" si="0"/>
        <v>2017.4015487255522</v>
      </c>
      <c r="I59" s="20">
        <f t="shared" si="1"/>
        <v>85.598451274447825</v>
      </c>
    </row>
    <row r="60" spans="1:9" ht="15" customHeight="1" x14ac:dyDescent="0.3">
      <c r="A60" s="17">
        <v>58</v>
      </c>
      <c r="B60" s="17">
        <v>1869</v>
      </c>
      <c r="C60" s="23">
        <f t="shared" si="2"/>
        <v>1878.75</v>
      </c>
      <c r="D60" s="23">
        <f t="shared" si="3"/>
        <v>-9.75</v>
      </c>
      <c r="E60" s="23">
        <f t="shared" si="4"/>
        <v>3874.75</v>
      </c>
      <c r="F60" s="26">
        <f t="shared" si="5"/>
        <v>12056.982955201234</v>
      </c>
      <c r="G60" s="19"/>
      <c r="H60" s="23">
        <f t="shared" si="0"/>
        <v>2034.5212389804419</v>
      </c>
      <c r="I60" s="23">
        <f t="shared" si="1"/>
        <v>-165.52123898044192</v>
      </c>
    </row>
    <row r="61" spans="1:9" ht="15" customHeight="1" x14ac:dyDescent="0.3">
      <c r="A61" s="17">
        <v>59</v>
      </c>
      <c r="B61" s="17">
        <v>2485</v>
      </c>
      <c r="C61" s="24">
        <f t="shared" si="2"/>
        <v>1896</v>
      </c>
      <c r="D61" s="24">
        <f t="shared" si="3"/>
        <v>589</v>
      </c>
      <c r="E61" s="24">
        <f t="shared" si="4"/>
        <v>4473.5</v>
      </c>
      <c r="F61" s="25">
        <f t="shared" si="5"/>
        <v>12056.982955201234</v>
      </c>
      <c r="G61" s="19"/>
      <c r="H61" s="20">
        <f t="shared" si="0"/>
        <v>2001.4169911843535</v>
      </c>
      <c r="I61" s="20">
        <f t="shared" si="1"/>
        <v>483.58300881564651</v>
      </c>
    </row>
    <row r="62" spans="1:9" ht="15" customHeight="1" x14ac:dyDescent="0.3">
      <c r="A62" s="17">
        <v>60</v>
      </c>
      <c r="B62" s="17">
        <v>2162</v>
      </c>
      <c r="C62" s="23">
        <f t="shared" si="2"/>
        <v>2086.5</v>
      </c>
      <c r="D62" s="23">
        <f t="shared" si="3"/>
        <v>75.5</v>
      </c>
      <c r="E62" s="23">
        <f t="shared" si="4"/>
        <v>3960</v>
      </c>
      <c r="F62" s="26">
        <f t="shared" si="5"/>
        <v>12056.982955201234</v>
      </c>
      <c r="G62" s="19"/>
      <c r="H62" s="23">
        <f t="shared" si="0"/>
        <v>2098.1335929474826</v>
      </c>
      <c r="I62" s="23">
        <f t="shared" si="1"/>
        <v>63.866407052517388</v>
      </c>
    </row>
    <row r="63" spans="1:9" ht="15" customHeight="1" x14ac:dyDescent="0.3">
      <c r="A63" s="17">
        <v>61</v>
      </c>
      <c r="B63" s="17">
        <v>2418</v>
      </c>
      <c r="C63" s="24">
        <f t="shared" si="2"/>
        <v>2154.75</v>
      </c>
      <c r="D63" s="24">
        <f t="shared" si="3"/>
        <v>263.25</v>
      </c>
      <c r="E63" s="24">
        <f t="shared" si="4"/>
        <v>4147.75</v>
      </c>
      <c r="F63" s="25">
        <f t="shared" si="5"/>
        <v>12056.982955201234</v>
      </c>
      <c r="G63" s="19"/>
      <c r="H63" s="20">
        <f t="shared" si="0"/>
        <v>2110.906874357986</v>
      </c>
      <c r="I63" s="20">
        <f t="shared" si="1"/>
        <v>307.093125642014</v>
      </c>
    </row>
    <row r="64" spans="1:9" ht="15" customHeight="1" x14ac:dyDescent="0.3">
      <c r="A64" s="17">
        <v>62</v>
      </c>
      <c r="B64" s="17">
        <v>1872</v>
      </c>
      <c r="C64" s="23">
        <f t="shared" si="2"/>
        <v>2233.5</v>
      </c>
      <c r="D64" s="23">
        <f t="shared" si="3"/>
        <v>-361.5</v>
      </c>
      <c r="E64" s="23">
        <f t="shared" si="4"/>
        <v>3523</v>
      </c>
      <c r="F64" s="26">
        <f t="shared" si="5"/>
        <v>11077.754261199691</v>
      </c>
      <c r="G64" s="19"/>
      <c r="H64" s="23">
        <f t="shared" si="0"/>
        <v>2172.3254994863887</v>
      </c>
      <c r="I64" s="23">
        <f t="shared" si="1"/>
        <v>-300.32549948638871</v>
      </c>
    </row>
    <row r="65" spans="1:9" ht="15" customHeight="1" x14ac:dyDescent="0.3">
      <c r="A65" s="17">
        <v>63</v>
      </c>
      <c r="B65" s="17">
        <v>1948</v>
      </c>
      <c r="C65" s="24">
        <f t="shared" si="2"/>
        <v>2234.25</v>
      </c>
      <c r="D65" s="24">
        <f t="shared" si="3"/>
        <v>-286.25</v>
      </c>
      <c r="E65" s="24">
        <f t="shared" si="4"/>
        <v>3598.25</v>
      </c>
      <c r="F65" s="25">
        <f t="shared" si="5"/>
        <v>11378.754261199691</v>
      </c>
      <c r="G65" s="19"/>
      <c r="H65" s="20">
        <f t="shared" si="0"/>
        <v>2112.2603995891109</v>
      </c>
      <c r="I65" s="20">
        <f t="shared" si="1"/>
        <v>-164.26039958911088</v>
      </c>
    </row>
    <row r="66" spans="1:9" ht="15" customHeight="1" x14ac:dyDescent="0.3">
      <c r="A66" s="17">
        <v>64</v>
      </c>
      <c r="B66" s="17">
        <v>1816</v>
      </c>
      <c r="C66" s="23">
        <f t="shared" si="2"/>
        <v>2100</v>
      </c>
      <c r="D66" s="23">
        <f t="shared" si="3"/>
        <v>-284</v>
      </c>
      <c r="E66" s="23">
        <f t="shared" si="4"/>
        <v>3600.5</v>
      </c>
      <c r="F66" s="26">
        <f t="shared" si="5"/>
        <v>11387.754261199691</v>
      </c>
      <c r="G66" s="19"/>
      <c r="H66" s="23">
        <f t="shared" si="0"/>
        <v>2079.4083196712886</v>
      </c>
      <c r="I66" s="23">
        <f t="shared" si="1"/>
        <v>-263.40831967128861</v>
      </c>
    </row>
    <row r="67" spans="1:9" ht="15" customHeight="1" x14ac:dyDescent="0.3">
      <c r="A67" s="17">
        <v>65</v>
      </c>
      <c r="B67" s="17">
        <v>2697</v>
      </c>
      <c r="C67" s="24">
        <f t="shared" si="2"/>
        <v>2013.5</v>
      </c>
      <c r="D67" s="24">
        <f t="shared" si="3"/>
        <v>683.5</v>
      </c>
      <c r="E67" s="24">
        <f t="shared" si="4"/>
        <v>4568</v>
      </c>
      <c r="F67" s="25">
        <f t="shared" si="5"/>
        <v>12056.982955201234</v>
      </c>
      <c r="G67" s="19"/>
      <c r="H67" s="20">
        <f t="shared" si="0"/>
        <v>2026.726655737031</v>
      </c>
      <c r="I67" s="20">
        <f t="shared" si="1"/>
        <v>670.27334426296898</v>
      </c>
    </row>
    <row r="68" spans="1:9" ht="15" customHeight="1" x14ac:dyDescent="0.3">
      <c r="A68" s="17">
        <v>66</v>
      </c>
      <c r="B68" s="17">
        <v>2629</v>
      </c>
      <c r="C68" s="23">
        <f t="shared" si="2"/>
        <v>2083.25</v>
      </c>
      <c r="D68" s="23">
        <f t="shared" si="3"/>
        <v>545.75</v>
      </c>
      <c r="E68" s="23">
        <f t="shared" si="4"/>
        <v>4430.25</v>
      </c>
      <c r="F68" s="26">
        <f t="shared" si="5"/>
        <v>12056.982955201234</v>
      </c>
      <c r="G68" s="19"/>
      <c r="H68" s="23">
        <f t="shared" ref="H68:H131" si="6">0.2*B67+0.8*H67</f>
        <v>2160.781324589625</v>
      </c>
      <c r="I68" s="23">
        <f t="shared" ref="I68:I131" si="7">B68-H68</f>
        <v>468.218675410375</v>
      </c>
    </row>
    <row r="69" spans="1:9" ht="15" customHeight="1" x14ac:dyDescent="0.3">
      <c r="A69" s="17">
        <v>67</v>
      </c>
      <c r="B69" s="17">
        <v>2733</v>
      </c>
      <c r="C69" s="24">
        <f t="shared" si="2"/>
        <v>2272.5</v>
      </c>
      <c r="D69" s="24">
        <f t="shared" si="3"/>
        <v>460.5</v>
      </c>
      <c r="E69" s="24">
        <f t="shared" si="4"/>
        <v>4345</v>
      </c>
      <c r="F69" s="25">
        <f t="shared" si="5"/>
        <v>12056.982955201234</v>
      </c>
      <c r="G69" s="19"/>
      <c r="H69" s="20">
        <f t="shared" si="6"/>
        <v>2254.4250596717002</v>
      </c>
      <c r="I69" s="20">
        <f t="shared" si="7"/>
        <v>478.57494032829982</v>
      </c>
    </row>
    <row r="70" spans="1:9" ht="15" customHeight="1" x14ac:dyDescent="0.3">
      <c r="A70" s="17">
        <v>68</v>
      </c>
      <c r="B70" s="17">
        <v>2694</v>
      </c>
      <c r="C70" s="23">
        <f t="shared" si="2"/>
        <v>2468.75</v>
      </c>
      <c r="D70" s="23">
        <f t="shared" si="3"/>
        <v>225.25</v>
      </c>
      <c r="E70" s="23">
        <f t="shared" si="4"/>
        <v>4109.75</v>
      </c>
      <c r="F70" s="26">
        <f t="shared" si="5"/>
        <v>12056.982955201234</v>
      </c>
      <c r="G70" s="19"/>
      <c r="H70" s="23">
        <f t="shared" si="6"/>
        <v>2350.1400477373604</v>
      </c>
      <c r="I70" s="23">
        <f t="shared" si="7"/>
        <v>343.85995226263958</v>
      </c>
    </row>
    <row r="71" spans="1:9" ht="15" customHeight="1" x14ac:dyDescent="0.3">
      <c r="A71" s="17">
        <v>69</v>
      </c>
      <c r="B71" s="17">
        <v>1976</v>
      </c>
      <c r="C71" s="24">
        <f t="shared" ref="C71:C134" si="8">AVERAGE(B67:B70)</f>
        <v>2688.25</v>
      </c>
      <c r="D71" s="24">
        <f t="shared" ref="D71:D134" si="9">B71-C71</f>
        <v>-712.25</v>
      </c>
      <c r="E71" s="24">
        <f t="shared" ref="E71:E134" si="10">$C$502+D71</f>
        <v>3172.25</v>
      </c>
      <c r="F71" s="25">
        <f t="shared" ref="F71:F134" si="11">4*MIN(E71,$E$509)-0.8*$E$509</f>
        <v>9674.7542611996905</v>
      </c>
      <c r="G71" s="19"/>
      <c r="H71" s="20">
        <f t="shared" si="6"/>
        <v>2418.9120381898883</v>
      </c>
      <c r="I71" s="20">
        <f t="shared" si="7"/>
        <v>-442.91203818988834</v>
      </c>
    </row>
    <row r="72" spans="1:9" ht="15" customHeight="1" x14ac:dyDescent="0.3">
      <c r="A72" s="17">
        <v>70</v>
      </c>
      <c r="B72" s="17">
        <v>2430</v>
      </c>
      <c r="C72" s="23">
        <f t="shared" si="8"/>
        <v>2508</v>
      </c>
      <c r="D72" s="23">
        <f t="shared" si="9"/>
        <v>-78</v>
      </c>
      <c r="E72" s="23">
        <f t="shared" si="10"/>
        <v>3806.5</v>
      </c>
      <c r="F72" s="26">
        <f t="shared" si="11"/>
        <v>12056.982955201234</v>
      </c>
      <c r="G72" s="19"/>
      <c r="H72" s="23">
        <f t="shared" si="6"/>
        <v>2330.3296305519107</v>
      </c>
      <c r="I72" s="23">
        <f t="shared" si="7"/>
        <v>99.670369448089332</v>
      </c>
    </row>
    <row r="73" spans="1:9" ht="15" customHeight="1" x14ac:dyDescent="0.3">
      <c r="A73" s="17">
        <v>71</v>
      </c>
      <c r="B73" s="17">
        <v>2126</v>
      </c>
      <c r="C73" s="24">
        <f t="shared" si="8"/>
        <v>2458.25</v>
      </c>
      <c r="D73" s="24">
        <f t="shared" si="9"/>
        <v>-332.25</v>
      </c>
      <c r="E73" s="24">
        <f t="shared" si="10"/>
        <v>3552.25</v>
      </c>
      <c r="F73" s="25">
        <f t="shared" si="11"/>
        <v>11194.754261199691</v>
      </c>
      <c r="G73" s="19"/>
      <c r="H73" s="20">
        <f t="shared" si="6"/>
        <v>2350.2637044415287</v>
      </c>
      <c r="I73" s="20">
        <f t="shared" si="7"/>
        <v>-224.26370444152872</v>
      </c>
    </row>
    <row r="74" spans="1:9" ht="15" customHeight="1" x14ac:dyDescent="0.3">
      <c r="A74" s="17">
        <v>72</v>
      </c>
      <c r="B74" s="17">
        <v>1926</v>
      </c>
      <c r="C74" s="23">
        <f t="shared" si="8"/>
        <v>2306.5</v>
      </c>
      <c r="D74" s="23">
        <f t="shared" si="9"/>
        <v>-380.5</v>
      </c>
      <c r="E74" s="23">
        <f t="shared" si="10"/>
        <v>3504</v>
      </c>
      <c r="F74" s="26">
        <f t="shared" si="11"/>
        <v>11001.754261199691</v>
      </c>
      <c r="G74" s="19"/>
      <c r="H74" s="23">
        <f t="shared" si="6"/>
        <v>2305.4109635532232</v>
      </c>
      <c r="I74" s="23">
        <f t="shared" si="7"/>
        <v>-379.41096355322316</v>
      </c>
    </row>
    <row r="75" spans="1:9" ht="15" customHeight="1" x14ac:dyDescent="0.3">
      <c r="A75" s="17">
        <v>73</v>
      </c>
      <c r="B75" s="17">
        <v>1963</v>
      </c>
      <c r="C75" s="24">
        <f t="shared" si="8"/>
        <v>2114.5</v>
      </c>
      <c r="D75" s="24">
        <f t="shared" si="9"/>
        <v>-151.5</v>
      </c>
      <c r="E75" s="24">
        <f t="shared" si="10"/>
        <v>3733</v>
      </c>
      <c r="F75" s="25">
        <f t="shared" si="11"/>
        <v>11917.754261199691</v>
      </c>
      <c r="G75" s="19"/>
      <c r="H75" s="20">
        <f t="shared" si="6"/>
        <v>2229.5287708425785</v>
      </c>
      <c r="I75" s="20">
        <f t="shared" si="7"/>
        <v>-266.52877084257852</v>
      </c>
    </row>
    <row r="76" spans="1:9" ht="15" customHeight="1" x14ac:dyDescent="0.3">
      <c r="A76" s="17">
        <v>74</v>
      </c>
      <c r="B76" s="17">
        <v>2274</v>
      </c>
      <c r="C76" s="23">
        <f t="shared" si="8"/>
        <v>2111.25</v>
      </c>
      <c r="D76" s="23">
        <f t="shared" si="9"/>
        <v>162.75</v>
      </c>
      <c r="E76" s="23">
        <f t="shared" si="10"/>
        <v>4047.25</v>
      </c>
      <c r="F76" s="26">
        <f t="shared" si="11"/>
        <v>12056.982955201234</v>
      </c>
      <c r="G76" s="19"/>
      <c r="H76" s="23">
        <f t="shared" si="6"/>
        <v>2176.2230166740628</v>
      </c>
      <c r="I76" s="23">
        <f t="shared" si="7"/>
        <v>97.776983325937181</v>
      </c>
    </row>
    <row r="77" spans="1:9" ht="15" customHeight="1" x14ac:dyDescent="0.3">
      <c r="A77" s="17">
        <v>75</v>
      </c>
      <c r="B77" s="17">
        <v>1873</v>
      </c>
      <c r="C77" s="24">
        <f t="shared" si="8"/>
        <v>2072.25</v>
      </c>
      <c r="D77" s="24">
        <f t="shared" si="9"/>
        <v>-199.25</v>
      </c>
      <c r="E77" s="24">
        <f t="shared" si="10"/>
        <v>3685.25</v>
      </c>
      <c r="F77" s="25">
        <f t="shared" si="11"/>
        <v>11726.754261199691</v>
      </c>
      <c r="G77" s="19"/>
      <c r="H77" s="20">
        <f t="shared" si="6"/>
        <v>2195.7784133392506</v>
      </c>
      <c r="I77" s="20">
        <f t="shared" si="7"/>
        <v>-322.77841333925062</v>
      </c>
    </row>
    <row r="78" spans="1:9" ht="15" customHeight="1" x14ac:dyDescent="0.3">
      <c r="A78" s="17">
        <v>76</v>
      </c>
      <c r="B78" s="17">
        <v>1811</v>
      </c>
      <c r="C78" s="23">
        <f t="shared" si="8"/>
        <v>2009</v>
      </c>
      <c r="D78" s="23">
        <f t="shared" si="9"/>
        <v>-198</v>
      </c>
      <c r="E78" s="23">
        <f t="shared" si="10"/>
        <v>3686.5</v>
      </c>
      <c r="F78" s="26">
        <f t="shared" si="11"/>
        <v>11731.754261199691</v>
      </c>
      <c r="G78" s="19"/>
      <c r="H78" s="23">
        <f t="shared" si="6"/>
        <v>2131.2227306714008</v>
      </c>
      <c r="I78" s="23">
        <f t="shared" si="7"/>
        <v>-320.22273067140077</v>
      </c>
    </row>
    <row r="79" spans="1:9" ht="15" customHeight="1" x14ac:dyDescent="0.3">
      <c r="A79" s="17">
        <v>77</v>
      </c>
      <c r="B79" s="17">
        <v>2180</v>
      </c>
      <c r="C79" s="24">
        <f t="shared" si="8"/>
        <v>1980.25</v>
      </c>
      <c r="D79" s="24">
        <f t="shared" si="9"/>
        <v>199.75</v>
      </c>
      <c r="E79" s="24">
        <f t="shared" si="10"/>
        <v>4084.25</v>
      </c>
      <c r="F79" s="25">
        <f t="shared" si="11"/>
        <v>12056.982955201234</v>
      </c>
      <c r="G79" s="19"/>
      <c r="H79" s="20">
        <f t="shared" si="6"/>
        <v>2067.1781845371206</v>
      </c>
      <c r="I79" s="20">
        <f t="shared" si="7"/>
        <v>112.82181546287939</v>
      </c>
    </row>
    <row r="80" spans="1:9" ht="15" customHeight="1" x14ac:dyDescent="0.3">
      <c r="A80" s="17">
        <v>78</v>
      </c>
      <c r="B80" s="17">
        <v>1861</v>
      </c>
      <c r="C80" s="23">
        <f t="shared" si="8"/>
        <v>2034.5</v>
      </c>
      <c r="D80" s="23">
        <f t="shared" si="9"/>
        <v>-173.5</v>
      </c>
      <c r="E80" s="23">
        <f t="shared" si="10"/>
        <v>3711</v>
      </c>
      <c r="F80" s="26">
        <f t="shared" si="11"/>
        <v>11829.754261199691</v>
      </c>
      <c r="G80" s="19"/>
      <c r="H80" s="23">
        <f t="shared" si="6"/>
        <v>2089.7425476296967</v>
      </c>
      <c r="I80" s="23">
        <f t="shared" si="7"/>
        <v>-228.74254762969667</v>
      </c>
    </row>
    <row r="81" spans="1:9" ht="15" customHeight="1" x14ac:dyDescent="0.3">
      <c r="A81" s="17">
        <v>79</v>
      </c>
      <c r="B81" s="17">
        <v>2436</v>
      </c>
      <c r="C81" s="24">
        <f t="shared" si="8"/>
        <v>1931.25</v>
      </c>
      <c r="D81" s="24">
        <f t="shared" si="9"/>
        <v>504.75</v>
      </c>
      <c r="E81" s="24">
        <f t="shared" si="10"/>
        <v>4389.25</v>
      </c>
      <c r="F81" s="25">
        <f t="shared" si="11"/>
        <v>12056.982955201234</v>
      </c>
      <c r="G81" s="19"/>
      <c r="H81" s="20">
        <f t="shared" si="6"/>
        <v>2043.9940381037575</v>
      </c>
      <c r="I81" s="20">
        <f t="shared" si="7"/>
        <v>392.00596189624252</v>
      </c>
    </row>
    <row r="82" spans="1:9" ht="15" customHeight="1" x14ac:dyDescent="0.3">
      <c r="A82" s="17">
        <v>80</v>
      </c>
      <c r="B82" s="17">
        <v>1902</v>
      </c>
      <c r="C82" s="23">
        <f t="shared" si="8"/>
        <v>2072</v>
      </c>
      <c r="D82" s="23">
        <f t="shared" si="9"/>
        <v>-170</v>
      </c>
      <c r="E82" s="23">
        <f t="shared" si="10"/>
        <v>3714.5</v>
      </c>
      <c r="F82" s="26">
        <f t="shared" si="11"/>
        <v>11843.754261199691</v>
      </c>
      <c r="G82" s="19"/>
      <c r="H82" s="23">
        <f t="shared" si="6"/>
        <v>2122.3952304830063</v>
      </c>
      <c r="I82" s="23">
        <f t="shared" si="7"/>
        <v>-220.39523048300634</v>
      </c>
    </row>
    <row r="83" spans="1:9" ht="15" customHeight="1" x14ac:dyDescent="0.3">
      <c r="A83" s="17">
        <v>81</v>
      </c>
      <c r="B83" s="17">
        <v>1838</v>
      </c>
      <c r="C83" s="24">
        <f t="shared" si="8"/>
        <v>2094.75</v>
      </c>
      <c r="D83" s="24">
        <f t="shared" si="9"/>
        <v>-256.75</v>
      </c>
      <c r="E83" s="24">
        <f t="shared" si="10"/>
        <v>3627.75</v>
      </c>
      <c r="F83" s="25">
        <f t="shared" si="11"/>
        <v>11496.754261199691</v>
      </c>
      <c r="G83" s="19"/>
      <c r="H83" s="20">
        <f t="shared" si="6"/>
        <v>2078.316184386405</v>
      </c>
      <c r="I83" s="20">
        <f t="shared" si="7"/>
        <v>-240.31618438640498</v>
      </c>
    </row>
    <row r="84" spans="1:9" ht="15" customHeight="1" x14ac:dyDescent="0.3">
      <c r="A84" s="17">
        <v>82</v>
      </c>
      <c r="B84" s="17">
        <v>2422</v>
      </c>
      <c r="C84" s="23">
        <f t="shared" si="8"/>
        <v>2009.25</v>
      </c>
      <c r="D84" s="23">
        <f t="shared" si="9"/>
        <v>412.75</v>
      </c>
      <c r="E84" s="23">
        <f t="shared" si="10"/>
        <v>4297.25</v>
      </c>
      <c r="F84" s="26">
        <f t="shared" si="11"/>
        <v>12056.982955201234</v>
      </c>
      <c r="G84" s="19"/>
      <c r="H84" s="23">
        <f t="shared" si="6"/>
        <v>2030.2529475091242</v>
      </c>
      <c r="I84" s="23">
        <f t="shared" si="7"/>
        <v>391.74705249087583</v>
      </c>
    </row>
    <row r="85" spans="1:9" ht="15" customHeight="1" x14ac:dyDescent="0.3">
      <c r="A85" s="17">
        <v>83</v>
      </c>
      <c r="B85" s="17">
        <v>2361</v>
      </c>
      <c r="C85" s="24">
        <f t="shared" si="8"/>
        <v>2149.5</v>
      </c>
      <c r="D85" s="24">
        <f t="shared" si="9"/>
        <v>211.5</v>
      </c>
      <c r="E85" s="24">
        <f t="shared" si="10"/>
        <v>4096</v>
      </c>
      <c r="F85" s="25">
        <f t="shared" si="11"/>
        <v>12056.982955201234</v>
      </c>
      <c r="G85" s="19"/>
      <c r="H85" s="20">
        <f t="shared" si="6"/>
        <v>2108.6023580072992</v>
      </c>
      <c r="I85" s="20">
        <f t="shared" si="7"/>
        <v>252.39764199270076</v>
      </c>
    </row>
    <row r="86" spans="1:9" ht="15" customHeight="1" x14ac:dyDescent="0.3">
      <c r="A86" s="17">
        <v>84</v>
      </c>
      <c r="B86" s="17">
        <v>2083</v>
      </c>
      <c r="C86" s="23">
        <f t="shared" si="8"/>
        <v>2130.75</v>
      </c>
      <c r="D86" s="23">
        <f t="shared" si="9"/>
        <v>-47.75</v>
      </c>
      <c r="E86" s="23">
        <f t="shared" si="10"/>
        <v>3836.75</v>
      </c>
      <c r="F86" s="26">
        <f t="shared" si="11"/>
        <v>12056.982955201234</v>
      </c>
      <c r="G86" s="19"/>
      <c r="H86" s="23">
        <f t="shared" si="6"/>
        <v>2159.0818864058392</v>
      </c>
      <c r="I86" s="23">
        <f t="shared" si="7"/>
        <v>-76.081886405839214</v>
      </c>
    </row>
    <row r="87" spans="1:9" ht="15" customHeight="1" x14ac:dyDescent="0.3">
      <c r="A87" s="17">
        <v>85</v>
      </c>
      <c r="B87" s="17">
        <v>2663</v>
      </c>
      <c r="C87" s="24">
        <f t="shared" si="8"/>
        <v>2176</v>
      </c>
      <c r="D87" s="24">
        <f t="shared" si="9"/>
        <v>487</v>
      </c>
      <c r="E87" s="24">
        <f t="shared" si="10"/>
        <v>4371.5</v>
      </c>
      <c r="F87" s="25">
        <f t="shared" si="11"/>
        <v>12056.982955201234</v>
      </c>
      <c r="G87" s="19"/>
      <c r="H87" s="20">
        <f t="shared" si="6"/>
        <v>2143.8655091246715</v>
      </c>
      <c r="I87" s="20">
        <f t="shared" si="7"/>
        <v>519.13449087532854</v>
      </c>
    </row>
    <row r="88" spans="1:9" ht="15" customHeight="1" x14ac:dyDescent="0.3">
      <c r="A88" s="17">
        <v>86</v>
      </c>
      <c r="B88" s="17">
        <v>2133</v>
      </c>
      <c r="C88" s="23">
        <f t="shared" si="8"/>
        <v>2382.25</v>
      </c>
      <c r="D88" s="23">
        <f t="shared" si="9"/>
        <v>-249.25</v>
      </c>
      <c r="E88" s="23">
        <f t="shared" si="10"/>
        <v>3635.25</v>
      </c>
      <c r="F88" s="26">
        <f t="shared" si="11"/>
        <v>11526.754261199691</v>
      </c>
      <c r="G88" s="19"/>
      <c r="H88" s="23">
        <f t="shared" si="6"/>
        <v>2247.6924072997372</v>
      </c>
      <c r="I88" s="23">
        <f t="shared" si="7"/>
        <v>-114.69240729973717</v>
      </c>
    </row>
    <row r="89" spans="1:9" ht="15" customHeight="1" x14ac:dyDescent="0.3">
      <c r="A89" s="17">
        <v>87</v>
      </c>
      <c r="B89" s="17">
        <v>2260</v>
      </c>
      <c r="C89" s="24">
        <f t="shared" si="8"/>
        <v>2310</v>
      </c>
      <c r="D89" s="24">
        <f t="shared" si="9"/>
        <v>-50</v>
      </c>
      <c r="E89" s="24">
        <f t="shared" si="10"/>
        <v>3834.5</v>
      </c>
      <c r="F89" s="25">
        <f t="shared" si="11"/>
        <v>12056.982955201234</v>
      </c>
      <c r="G89" s="19"/>
      <c r="H89" s="20">
        <f t="shared" si="6"/>
        <v>2224.7539258397896</v>
      </c>
      <c r="I89" s="20">
        <f t="shared" si="7"/>
        <v>35.246074160210355</v>
      </c>
    </row>
    <row r="90" spans="1:9" ht="15" customHeight="1" x14ac:dyDescent="0.3">
      <c r="A90" s="17">
        <v>88</v>
      </c>
      <c r="B90" s="17">
        <v>2271</v>
      </c>
      <c r="C90" s="23">
        <f t="shared" si="8"/>
        <v>2284.75</v>
      </c>
      <c r="D90" s="23">
        <f t="shared" si="9"/>
        <v>-13.75</v>
      </c>
      <c r="E90" s="23">
        <f t="shared" si="10"/>
        <v>3870.75</v>
      </c>
      <c r="F90" s="26">
        <f t="shared" si="11"/>
        <v>12056.982955201234</v>
      </c>
      <c r="G90" s="19"/>
      <c r="H90" s="23">
        <f t="shared" si="6"/>
        <v>2231.8031406718319</v>
      </c>
      <c r="I90" s="23">
        <f t="shared" si="7"/>
        <v>39.196859328168102</v>
      </c>
    </row>
    <row r="91" spans="1:9" ht="15" customHeight="1" x14ac:dyDescent="0.3">
      <c r="A91" s="17">
        <v>89</v>
      </c>
      <c r="B91" s="17">
        <v>2330</v>
      </c>
      <c r="C91" s="24">
        <f t="shared" si="8"/>
        <v>2331.75</v>
      </c>
      <c r="D91" s="24">
        <f t="shared" si="9"/>
        <v>-1.75</v>
      </c>
      <c r="E91" s="24">
        <f t="shared" si="10"/>
        <v>3882.75</v>
      </c>
      <c r="F91" s="25">
        <f t="shared" si="11"/>
        <v>12056.982955201234</v>
      </c>
      <c r="G91" s="19"/>
      <c r="H91" s="20">
        <f t="shared" si="6"/>
        <v>2239.6425125374653</v>
      </c>
      <c r="I91" s="20">
        <f t="shared" si="7"/>
        <v>90.357487462534664</v>
      </c>
    </row>
    <row r="92" spans="1:9" ht="15" customHeight="1" x14ac:dyDescent="0.3">
      <c r="A92" s="17">
        <v>90</v>
      </c>
      <c r="B92" s="17">
        <v>2648</v>
      </c>
      <c r="C92" s="23">
        <f t="shared" si="8"/>
        <v>2248.5</v>
      </c>
      <c r="D92" s="23">
        <f t="shared" si="9"/>
        <v>399.5</v>
      </c>
      <c r="E92" s="23">
        <f t="shared" si="10"/>
        <v>4284</v>
      </c>
      <c r="F92" s="26">
        <f t="shared" si="11"/>
        <v>12056.982955201234</v>
      </c>
      <c r="G92" s="19"/>
      <c r="H92" s="23">
        <f t="shared" si="6"/>
        <v>2257.7140100299721</v>
      </c>
      <c r="I92" s="23">
        <f t="shared" si="7"/>
        <v>390.28598997002791</v>
      </c>
    </row>
    <row r="93" spans="1:9" ht="15" customHeight="1" x14ac:dyDescent="0.3">
      <c r="A93" s="17">
        <v>91</v>
      </c>
      <c r="B93" s="17">
        <v>2188</v>
      </c>
      <c r="C93" s="24">
        <f t="shared" si="8"/>
        <v>2377.25</v>
      </c>
      <c r="D93" s="24">
        <f t="shared" si="9"/>
        <v>-189.25</v>
      </c>
      <c r="E93" s="24">
        <f t="shared" si="10"/>
        <v>3695.25</v>
      </c>
      <c r="F93" s="25">
        <f t="shared" si="11"/>
        <v>11766.754261199691</v>
      </c>
      <c r="G93" s="19"/>
      <c r="H93" s="20">
        <f t="shared" si="6"/>
        <v>2335.7712080239776</v>
      </c>
      <c r="I93" s="20">
        <f t="shared" si="7"/>
        <v>-147.77120802397758</v>
      </c>
    </row>
    <row r="94" spans="1:9" ht="15" customHeight="1" x14ac:dyDescent="0.3">
      <c r="A94" s="17">
        <v>92</v>
      </c>
      <c r="B94" s="17">
        <v>2382</v>
      </c>
      <c r="C94" s="23">
        <f t="shared" si="8"/>
        <v>2359.25</v>
      </c>
      <c r="D94" s="23">
        <f t="shared" si="9"/>
        <v>22.75</v>
      </c>
      <c r="E94" s="23">
        <f t="shared" si="10"/>
        <v>3907.25</v>
      </c>
      <c r="F94" s="26">
        <f t="shared" si="11"/>
        <v>12056.982955201234</v>
      </c>
      <c r="G94" s="19"/>
      <c r="H94" s="23">
        <f t="shared" si="6"/>
        <v>2306.216966419182</v>
      </c>
      <c r="I94" s="23">
        <f t="shared" si="7"/>
        <v>75.783033580818028</v>
      </c>
    </row>
    <row r="95" spans="1:9" ht="15" customHeight="1" x14ac:dyDescent="0.3">
      <c r="A95" s="17">
        <v>93</v>
      </c>
      <c r="B95" s="17">
        <v>2522</v>
      </c>
      <c r="C95" s="24">
        <f t="shared" si="8"/>
        <v>2387</v>
      </c>
      <c r="D95" s="24">
        <f t="shared" si="9"/>
        <v>135</v>
      </c>
      <c r="E95" s="24">
        <f t="shared" si="10"/>
        <v>4019.5</v>
      </c>
      <c r="F95" s="25">
        <f t="shared" si="11"/>
        <v>12056.982955201234</v>
      </c>
      <c r="G95" s="19"/>
      <c r="H95" s="20">
        <f t="shared" si="6"/>
        <v>2321.3735731353459</v>
      </c>
      <c r="I95" s="20">
        <f t="shared" si="7"/>
        <v>200.62642686465415</v>
      </c>
    </row>
    <row r="96" spans="1:9" ht="15" customHeight="1" x14ac:dyDescent="0.3">
      <c r="A96" s="17">
        <v>94</v>
      </c>
      <c r="B96" s="17">
        <v>2402</v>
      </c>
      <c r="C96" s="23">
        <f t="shared" si="8"/>
        <v>2435</v>
      </c>
      <c r="D96" s="23">
        <f t="shared" si="9"/>
        <v>-33</v>
      </c>
      <c r="E96" s="23">
        <f t="shared" si="10"/>
        <v>3851.5</v>
      </c>
      <c r="F96" s="26">
        <f t="shared" si="11"/>
        <v>12056.982955201234</v>
      </c>
      <c r="G96" s="19"/>
      <c r="H96" s="23">
        <f t="shared" si="6"/>
        <v>2361.498858508277</v>
      </c>
      <c r="I96" s="23">
        <f t="shared" si="7"/>
        <v>40.501141491723047</v>
      </c>
    </row>
    <row r="97" spans="1:9" ht="15" customHeight="1" x14ac:dyDescent="0.3">
      <c r="A97" s="17">
        <v>95</v>
      </c>
      <c r="B97" s="17">
        <v>2480</v>
      </c>
      <c r="C97" s="24">
        <f t="shared" si="8"/>
        <v>2373.5</v>
      </c>
      <c r="D97" s="24">
        <f t="shared" si="9"/>
        <v>106.5</v>
      </c>
      <c r="E97" s="24">
        <f t="shared" si="10"/>
        <v>3991</v>
      </c>
      <c r="F97" s="25">
        <f t="shared" si="11"/>
        <v>12056.982955201234</v>
      </c>
      <c r="G97" s="19"/>
      <c r="H97" s="20">
        <f t="shared" si="6"/>
        <v>2369.5990868066215</v>
      </c>
      <c r="I97" s="20">
        <f t="shared" si="7"/>
        <v>110.40091319337853</v>
      </c>
    </row>
    <row r="98" spans="1:9" ht="15" customHeight="1" x14ac:dyDescent="0.3">
      <c r="A98" s="17">
        <v>96</v>
      </c>
      <c r="B98" s="17">
        <v>2773</v>
      </c>
      <c r="C98" s="23">
        <f t="shared" si="8"/>
        <v>2446.5</v>
      </c>
      <c r="D98" s="23">
        <f t="shared" si="9"/>
        <v>326.5</v>
      </c>
      <c r="E98" s="23">
        <f t="shared" si="10"/>
        <v>4211</v>
      </c>
      <c r="F98" s="26">
        <f t="shared" si="11"/>
        <v>12056.982955201234</v>
      </c>
      <c r="G98" s="19"/>
      <c r="H98" s="23">
        <f t="shared" si="6"/>
        <v>2391.679269445297</v>
      </c>
      <c r="I98" s="23">
        <f t="shared" si="7"/>
        <v>381.320730554703</v>
      </c>
    </row>
    <row r="99" spans="1:9" ht="15" customHeight="1" x14ac:dyDescent="0.3">
      <c r="A99" s="17">
        <v>97</v>
      </c>
      <c r="B99" s="17">
        <v>2792</v>
      </c>
      <c r="C99" s="24">
        <f t="shared" si="8"/>
        <v>2544.25</v>
      </c>
      <c r="D99" s="24">
        <f t="shared" si="9"/>
        <v>247.75</v>
      </c>
      <c r="E99" s="24">
        <f t="shared" si="10"/>
        <v>4132.25</v>
      </c>
      <c r="F99" s="25">
        <f t="shared" si="11"/>
        <v>12056.982955201234</v>
      </c>
      <c r="G99" s="19"/>
      <c r="H99" s="20">
        <f t="shared" si="6"/>
        <v>2467.9434155562376</v>
      </c>
      <c r="I99" s="20">
        <f t="shared" si="7"/>
        <v>324.0565844437624</v>
      </c>
    </row>
    <row r="100" spans="1:9" ht="15" customHeight="1" x14ac:dyDescent="0.3">
      <c r="A100" s="17">
        <v>98</v>
      </c>
      <c r="B100" s="17">
        <v>2322</v>
      </c>
      <c r="C100" s="23">
        <f t="shared" si="8"/>
        <v>2611.75</v>
      </c>
      <c r="D100" s="23">
        <f t="shared" si="9"/>
        <v>-289.75</v>
      </c>
      <c r="E100" s="23">
        <f t="shared" si="10"/>
        <v>3594.75</v>
      </c>
      <c r="F100" s="26">
        <f t="shared" si="11"/>
        <v>11364.754261199691</v>
      </c>
      <c r="G100" s="19"/>
      <c r="H100" s="23">
        <f t="shared" si="6"/>
        <v>2532.7547324449902</v>
      </c>
      <c r="I100" s="23">
        <f t="shared" si="7"/>
        <v>-210.75473244499017</v>
      </c>
    </row>
    <row r="101" spans="1:9" ht="15" customHeight="1" x14ac:dyDescent="0.3">
      <c r="A101" s="17">
        <v>99</v>
      </c>
      <c r="B101" s="17">
        <v>2197</v>
      </c>
      <c r="C101" s="24">
        <f t="shared" si="8"/>
        <v>2591.75</v>
      </c>
      <c r="D101" s="24">
        <f t="shared" si="9"/>
        <v>-394.75</v>
      </c>
      <c r="E101" s="24">
        <f t="shared" si="10"/>
        <v>3489.75</v>
      </c>
      <c r="F101" s="25">
        <f t="shared" si="11"/>
        <v>10944.754261199691</v>
      </c>
      <c r="G101" s="19"/>
      <c r="H101" s="20">
        <f t="shared" si="6"/>
        <v>2490.6037859559924</v>
      </c>
      <c r="I101" s="20">
        <f t="shared" si="7"/>
        <v>-293.60378595599241</v>
      </c>
    </row>
    <row r="102" spans="1:9" ht="15" customHeight="1" x14ac:dyDescent="0.3">
      <c r="A102" s="17">
        <v>100</v>
      </c>
      <c r="B102" s="17">
        <v>1928</v>
      </c>
      <c r="C102" s="23">
        <f t="shared" si="8"/>
        <v>2521</v>
      </c>
      <c r="D102" s="23">
        <f t="shared" si="9"/>
        <v>-593</v>
      </c>
      <c r="E102" s="23">
        <f t="shared" si="10"/>
        <v>3291.5</v>
      </c>
      <c r="F102" s="26">
        <f t="shared" si="11"/>
        <v>10151.754261199691</v>
      </c>
      <c r="G102" s="19"/>
      <c r="H102" s="23">
        <f t="shared" si="6"/>
        <v>2431.8830287647938</v>
      </c>
      <c r="I102" s="23">
        <f t="shared" si="7"/>
        <v>-503.88302876479383</v>
      </c>
    </row>
    <row r="103" spans="1:9" ht="15" customHeight="1" x14ac:dyDescent="0.3">
      <c r="A103" s="17">
        <v>101</v>
      </c>
      <c r="B103" s="17">
        <v>2093</v>
      </c>
      <c r="C103" s="24">
        <f t="shared" si="8"/>
        <v>2309.75</v>
      </c>
      <c r="D103" s="24">
        <f t="shared" si="9"/>
        <v>-216.75</v>
      </c>
      <c r="E103" s="24">
        <f t="shared" si="10"/>
        <v>3667.75</v>
      </c>
      <c r="F103" s="25">
        <f t="shared" si="11"/>
        <v>11656.754261199691</v>
      </c>
      <c r="G103" s="19"/>
      <c r="H103" s="20">
        <f t="shared" si="6"/>
        <v>2331.106423011835</v>
      </c>
      <c r="I103" s="20">
        <f t="shared" si="7"/>
        <v>-238.10642301183498</v>
      </c>
    </row>
    <row r="104" spans="1:9" ht="15" customHeight="1" x14ac:dyDescent="0.3">
      <c r="A104" s="17">
        <v>102</v>
      </c>
      <c r="B104" s="17">
        <v>1945</v>
      </c>
      <c r="C104" s="23">
        <f t="shared" si="8"/>
        <v>2135</v>
      </c>
      <c r="D104" s="23">
        <f t="shared" si="9"/>
        <v>-190</v>
      </c>
      <c r="E104" s="23">
        <f t="shared" si="10"/>
        <v>3694.5</v>
      </c>
      <c r="F104" s="26">
        <f t="shared" si="11"/>
        <v>11763.754261199691</v>
      </c>
      <c r="G104" s="19"/>
      <c r="H104" s="23">
        <f t="shared" si="6"/>
        <v>2283.4851384094682</v>
      </c>
      <c r="I104" s="23">
        <f t="shared" si="7"/>
        <v>-338.48513840946816</v>
      </c>
    </row>
    <row r="105" spans="1:9" ht="15" customHeight="1" x14ac:dyDescent="0.3">
      <c r="A105" s="17">
        <v>103</v>
      </c>
      <c r="B105" s="17">
        <v>2798</v>
      </c>
      <c r="C105" s="24">
        <f t="shared" si="8"/>
        <v>2040.75</v>
      </c>
      <c r="D105" s="24">
        <f t="shared" si="9"/>
        <v>757.25</v>
      </c>
      <c r="E105" s="24">
        <f t="shared" si="10"/>
        <v>4641.75</v>
      </c>
      <c r="F105" s="25">
        <f t="shared" si="11"/>
        <v>12056.982955201234</v>
      </c>
      <c r="G105" s="19"/>
      <c r="H105" s="20">
        <f t="shared" si="6"/>
        <v>2215.7881107275743</v>
      </c>
      <c r="I105" s="20">
        <f t="shared" si="7"/>
        <v>582.21188927242565</v>
      </c>
    </row>
    <row r="106" spans="1:9" ht="15" customHeight="1" x14ac:dyDescent="0.3">
      <c r="A106" s="17">
        <v>104</v>
      </c>
      <c r="B106" s="17">
        <v>2575</v>
      </c>
      <c r="C106" s="23">
        <f t="shared" si="8"/>
        <v>2191</v>
      </c>
      <c r="D106" s="23">
        <f t="shared" si="9"/>
        <v>384</v>
      </c>
      <c r="E106" s="23">
        <f t="shared" si="10"/>
        <v>4268.5</v>
      </c>
      <c r="F106" s="26">
        <f t="shared" si="11"/>
        <v>12056.982955201234</v>
      </c>
      <c r="G106" s="19"/>
      <c r="H106" s="23">
        <f t="shared" si="6"/>
        <v>2332.2304885820595</v>
      </c>
      <c r="I106" s="23">
        <f t="shared" si="7"/>
        <v>242.76951141794052</v>
      </c>
    </row>
    <row r="107" spans="1:9" ht="15" customHeight="1" x14ac:dyDescent="0.3">
      <c r="A107" s="17">
        <v>105</v>
      </c>
      <c r="B107" s="17">
        <v>2199</v>
      </c>
      <c r="C107" s="24">
        <f t="shared" si="8"/>
        <v>2352.75</v>
      </c>
      <c r="D107" s="24">
        <f t="shared" si="9"/>
        <v>-153.75</v>
      </c>
      <c r="E107" s="24">
        <f t="shared" si="10"/>
        <v>3730.75</v>
      </c>
      <c r="F107" s="25">
        <f t="shared" si="11"/>
        <v>11908.754261199691</v>
      </c>
      <c r="G107" s="19"/>
      <c r="H107" s="20">
        <f t="shared" si="6"/>
        <v>2380.7843908656478</v>
      </c>
      <c r="I107" s="20">
        <f t="shared" si="7"/>
        <v>-181.78439086564777</v>
      </c>
    </row>
    <row r="108" spans="1:9" ht="15" customHeight="1" x14ac:dyDescent="0.3">
      <c r="A108" s="17">
        <v>106</v>
      </c>
      <c r="B108" s="17">
        <v>2390</v>
      </c>
      <c r="C108" s="23">
        <f t="shared" si="8"/>
        <v>2379.25</v>
      </c>
      <c r="D108" s="23">
        <f t="shared" si="9"/>
        <v>10.75</v>
      </c>
      <c r="E108" s="23">
        <f t="shared" si="10"/>
        <v>3895.25</v>
      </c>
      <c r="F108" s="26">
        <f t="shared" si="11"/>
        <v>12056.982955201234</v>
      </c>
      <c r="G108" s="19"/>
      <c r="H108" s="23">
        <f t="shared" si="6"/>
        <v>2344.4275126925186</v>
      </c>
      <c r="I108" s="23">
        <f t="shared" si="7"/>
        <v>45.572487307481424</v>
      </c>
    </row>
    <row r="109" spans="1:9" ht="15" customHeight="1" x14ac:dyDescent="0.3">
      <c r="A109" s="17">
        <v>107</v>
      </c>
      <c r="B109" s="17">
        <v>2324</v>
      </c>
      <c r="C109" s="24">
        <f t="shared" si="8"/>
        <v>2490.5</v>
      </c>
      <c r="D109" s="24">
        <f t="shared" si="9"/>
        <v>-166.5</v>
      </c>
      <c r="E109" s="24">
        <f t="shared" si="10"/>
        <v>3718</v>
      </c>
      <c r="F109" s="25">
        <f t="shared" si="11"/>
        <v>11857.754261199691</v>
      </c>
      <c r="G109" s="19"/>
      <c r="H109" s="20">
        <f t="shared" si="6"/>
        <v>2353.5420101540149</v>
      </c>
      <c r="I109" s="20">
        <f t="shared" si="7"/>
        <v>-29.542010154014861</v>
      </c>
    </row>
    <row r="110" spans="1:9" ht="15" customHeight="1" x14ac:dyDescent="0.3">
      <c r="A110" s="17">
        <v>108</v>
      </c>
      <c r="B110" s="17">
        <v>2669</v>
      </c>
      <c r="C110" s="23">
        <f t="shared" si="8"/>
        <v>2372</v>
      </c>
      <c r="D110" s="23">
        <f t="shared" si="9"/>
        <v>297</v>
      </c>
      <c r="E110" s="23">
        <f t="shared" si="10"/>
        <v>4181.5</v>
      </c>
      <c r="F110" s="26">
        <f t="shared" si="11"/>
        <v>12056.982955201234</v>
      </c>
      <c r="G110" s="19"/>
      <c r="H110" s="23">
        <f t="shared" si="6"/>
        <v>2347.6336081232121</v>
      </c>
      <c r="I110" s="23">
        <f t="shared" si="7"/>
        <v>321.36639187678793</v>
      </c>
    </row>
    <row r="111" spans="1:9" ht="15" customHeight="1" x14ac:dyDescent="0.3">
      <c r="A111" s="17">
        <v>109</v>
      </c>
      <c r="B111" s="17">
        <v>2492</v>
      </c>
      <c r="C111" s="24">
        <f t="shared" si="8"/>
        <v>2395.5</v>
      </c>
      <c r="D111" s="24">
        <f t="shared" si="9"/>
        <v>96.5</v>
      </c>
      <c r="E111" s="24">
        <f t="shared" si="10"/>
        <v>3981</v>
      </c>
      <c r="F111" s="25">
        <f t="shared" si="11"/>
        <v>12056.982955201234</v>
      </c>
      <c r="G111" s="19"/>
      <c r="H111" s="20">
        <f t="shared" si="6"/>
        <v>2411.9068864985697</v>
      </c>
      <c r="I111" s="20">
        <f t="shared" si="7"/>
        <v>80.093113501430253</v>
      </c>
    </row>
    <row r="112" spans="1:9" ht="15" customHeight="1" x14ac:dyDescent="0.3">
      <c r="A112" s="17">
        <v>110</v>
      </c>
      <c r="B112" s="17">
        <v>2751</v>
      </c>
      <c r="C112" s="23">
        <f t="shared" si="8"/>
        <v>2468.75</v>
      </c>
      <c r="D112" s="23">
        <f t="shared" si="9"/>
        <v>282.25</v>
      </c>
      <c r="E112" s="23">
        <f t="shared" si="10"/>
        <v>4166.75</v>
      </c>
      <c r="F112" s="26">
        <f t="shared" si="11"/>
        <v>12056.982955201234</v>
      </c>
      <c r="G112" s="19"/>
      <c r="H112" s="23">
        <f t="shared" si="6"/>
        <v>2427.9255091988557</v>
      </c>
      <c r="I112" s="23">
        <f t="shared" si="7"/>
        <v>323.07449080114429</v>
      </c>
    </row>
    <row r="113" spans="1:9" ht="15" customHeight="1" x14ac:dyDescent="0.3">
      <c r="A113" s="17">
        <v>111</v>
      </c>
      <c r="B113" s="17">
        <v>2844</v>
      </c>
      <c r="C113" s="24">
        <f t="shared" si="8"/>
        <v>2559</v>
      </c>
      <c r="D113" s="24">
        <f t="shared" si="9"/>
        <v>285</v>
      </c>
      <c r="E113" s="24">
        <f t="shared" si="10"/>
        <v>4169.5</v>
      </c>
      <c r="F113" s="25">
        <f t="shared" si="11"/>
        <v>12056.982955201234</v>
      </c>
      <c r="G113" s="19"/>
      <c r="H113" s="20">
        <f t="shared" si="6"/>
        <v>2492.5404073590844</v>
      </c>
      <c r="I113" s="20">
        <f t="shared" si="7"/>
        <v>351.45959264091562</v>
      </c>
    </row>
    <row r="114" spans="1:9" ht="15" customHeight="1" x14ac:dyDescent="0.3">
      <c r="A114" s="17">
        <v>112</v>
      </c>
      <c r="B114" s="17">
        <v>2717</v>
      </c>
      <c r="C114" s="23">
        <f t="shared" si="8"/>
        <v>2689</v>
      </c>
      <c r="D114" s="23">
        <f t="shared" si="9"/>
        <v>28</v>
      </c>
      <c r="E114" s="23">
        <f t="shared" si="10"/>
        <v>3912.5</v>
      </c>
      <c r="F114" s="26">
        <f t="shared" si="11"/>
        <v>12056.982955201234</v>
      </c>
      <c r="G114" s="19"/>
      <c r="H114" s="23">
        <f t="shared" si="6"/>
        <v>2562.8323258872679</v>
      </c>
      <c r="I114" s="23">
        <f t="shared" si="7"/>
        <v>154.16767411273213</v>
      </c>
    </row>
    <row r="115" spans="1:9" ht="15" customHeight="1" x14ac:dyDescent="0.3">
      <c r="A115" s="17">
        <v>113</v>
      </c>
      <c r="B115" s="17">
        <v>2869</v>
      </c>
      <c r="C115" s="24">
        <f t="shared" si="8"/>
        <v>2701</v>
      </c>
      <c r="D115" s="24">
        <f t="shared" si="9"/>
        <v>168</v>
      </c>
      <c r="E115" s="24">
        <f t="shared" si="10"/>
        <v>4052.5</v>
      </c>
      <c r="F115" s="25">
        <f t="shared" si="11"/>
        <v>12056.982955201234</v>
      </c>
      <c r="G115" s="19"/>
      <c r="H115" s="20">
        <f t="shared" si="6"/>
        <v>2593.6658607098143</v>
      </c>
      <c r="I115" s="20">
        <f t="shared" si="7"/>
        <v>275.3341392901857</v>
      </c>
    </row>
    <row r="116" spans="1:9" ht="15" customHeight="1" x14ac:dyDescent="0.3">
      <c r="A116" s="17">
        <v>114</v>
      </c>
      <c r="B116" s="17">
        <v>2284</v>
      </c>
      <c r="C116" s="23">
        <f t="shared" si="8"/>
        <v>2795.25</v>
      </c>
      <c r="D116" s="23">
        <f t="shared" si="9"/>
        <v>-511.25</v>
      </c>
      <c r="E116" s="23">
        <f t="shared" si="10"/>
        <v>3373.25</v>
      </c>
      <c r="F116" s="26">
        <f t="shared" si="11"/>
        <v>10478.754261199691</v>
      </c>
      <c r="G116" s="19"/>
      <c r="H116" s="23">
        <f t="shared" si="6"/>
        <v>2648.7326885678517</v>
      </c>
      <c r="I116" s="23">
        <f t="shared" si="7"/>
        <v>-364.73268856785171</v>
      </c>
    </row>
    <row r="117" spans="1:9" ht="15" customHeight="1" x14ac:dyDescent="0.3">
      <c r="A117" s="17">
        <v>115</v>
      </c>
      <c r="B117" s="17">
        <v>2496</v>
      </c>
      <c r="C117" s="24">
        <f t="shared" si="8"/>
        <v>2678.5</v>
      </c>
      <c r="D117" s="24">
        <f t="shared" si="9"/>
        <v>-182.5</v>
      </c>
      <c r="E117" s="24">
        <f t="shared" si="10"/>
        <v>3702</v>
      </c>
      <c r="F117" s="25">
        <f t="shared" si="11"/>
        <v>11793.754261199691</v>
      </c>
      <c r="G117" s="19"/>
      <c r="H117" s="20">
        <f t="shared" si="6"/>
        <v>2575.7861508542815</v>
      </c>
      <c r="I117" s="20">
        <f t="shared" si="7"/>
        <v>-79.786150854281459</v>
      </c>
    </row>
    <row r="118" spans="1:9" ht="15" customHeight="1" x14ac:dyDescent="0.3">
      <c r="A118" s="17">
        <v>116</v>
      </c>
      <c r="B118" s="17">
        <v>2345</v>
      </c>
      <c r="C118" s="23">
        <f t="shared" si="8"/>
        <v>2591.5</v>
      </c>
      <c r="D118" s="23">
        <f t="shared" si="9"/>
        <v>-246.5</v>
      </c>
      <c r="E118" s="23">
        <f t="shared" si="10"/>
        <v>3638</v>
      </c>
      <c r="F118" s="26">
        <f t="shared" si="11"/>
        <v>11537.754261199691</v>
      </c>
      <c r="G118" s="19"/>
      <c r="H118" s="23">
        <f t="shared" si="6"/>
        <v>2559.8289206834252</v>
      </c>
      <c r="I118" s="23">
        <f t="shared" si="7"/>
        <v>-214.82892068342517</v>
      </c>
    </row>
    <row r="119" spans="1:9" ht="15" customHeight="1" x14ac:dyDescent="0.3">
      <c r="A119" s="17">
        <v>117</v>
      </c>
      <c r="B119" s="17">
        <v>2576</v>
      </c>
      <c r="C119" s="24">
        <f t="shared" si="8"/>
        <v>2498.5</v>
      </c>
      <c r="D119" s="24">
        <f t="shared" si="9"/>
        <v>77.5</v>
      </c>
      <c r="E119" s="24">
        <f t="shared" si="10"/>
        <v>3962</v>
      </c>
      <c r="F119" s="25">
        <f t="shared" si="11"/>
        <v>12056.982955201234</v>
      </c>
      <c r="G119" s="19"/>
      <c r="H119" s="20">
        <f t="shared" si="6"/>
        <v>2516.86313654674</v>
      </c>
      <c r="I119" s="20">
        <f t="shared" si="7"/>
        <v>59.136863453260048</v>
      </c>
    </row>
    <row r="120" spans="1:9" ht="15" customHeight="1" x14ac:dyDescent="0.3">
      <c r="A120" s="17">
        <v>118</v>
      </c>
      <c r="B120" s="17">
        <v>2302</v>
      </c>
      <c r="C120" s="23">
        <f t="shared" si="8"/>
        <v>2425.25</v>
      </c>
      <c r="D120" s="23">
        <f t="shared" si="9"/>
        <v>-123.25</v>
      </c>
      <c r="E120" s="23">
        <f t="shared" si="10"/>
        <v>3761.25</v>
      </c>
      <c r="F120" s="26">
        <f t="shared" si="11"/>
        <v>12030.754261199691</v>
      </c>
      <c r="G120" s="19"/>
      <c r="H120" s="23">
        <f t="shared" si="6"/>
        <v>2528.6905092373918</v>
      </c>
      <c r="I120" s="23">
        <f t="shared" si="7"/>
        <v>-226.69050923739178</v>
      </c>
    </row>
    <row r="121" spans="1:9" ht="15" customHeight="1" x14ac:dyDescent="0.3">
      <c r="A121" s="17">
        <v>119</v>
      </c>
      <c r="B121" s="17">
        <v>2351</v>
      </c>
      <c r="C121" s="24">
        <f t="shared" si="8"/>
        <v>2429.75</v>
      </c>
      <c r="D121" s="24">
        <f t="shared" si="9"/>
        <v>-78.75</v>
      </c>
      <c r="E121" s="24">
        <f t="shared" si="10"/>
        <v>3805.75</v>
      </c>
      <c r="F121" s="25">
        <f t="shared" si="11"/>
        <v>12056.982955201234</v>
      </c>
      <c r="G121" s="19"/>
      <c r="H121" s="20">
        <f t="shared" si="6"/>
        <v>2483.3524073899134</v>
      </c>
      <c r="I121" s="20">
        <f t="shared" si="7"/>
        <v>-132.35240738991342</v>
      </c>
    </row>
    <row r="122" spans="1:9" ht="15" customHeight="1" x14ac:dyDescent="0.3">
      <c r="A122" s="17">
        <v>120</v>
      </c>
      <c r="B122" s="17">
        <v>2186</v>
      </c>
      <c r="C122" s="23">
        <f t="shared" si="8"/>
        <v>2393.5</v>
      </c>
      <c r="D122" s="23">
        <f t="shared" si="9"/>
        <v>-207.5</v>
      </c>
      <c r="E122" s="23">
        <f t="shared" si="10"/>
        <v>3677</v>
      </c>
      <c r="F122" s="26">
        <f t="shared" si="11"/>
        <v>11693.754261199691</v>
      </c>
      <c r="G122" s="19"/>
      <c r="H122" s="23">
        <f t="shared" si="6"/>
        <v>2456.8819259119309</v>
      </c>
      <c r="I122" s="23">
        <f t="shared" si="7"/>
        <v>-270.88192591193092</v>
      </c>
    </row>
    <row r="123" spans="1:9" ht="15" customHeight="1" x14ac:dyDescent="0.3">
      <c r="A123" s="17">
        <v>121</v>
      </c>
      <c r="B123" s="17">
        <v>2049</v>
      </c>
      <c r="C123" s="24">
        <f t="shared" si="8"/>
        <v>2353.75</v>
      </c>
      <c r="D123" s="24">
        <f t="shared" si="9"/>
        <v>-304.75</v>
      </c>
      <c r="E123" s="24">
        <f t="shared" si="10"/>
        <v>3579.75</v>
      </c>
      <c r="F123" s="25">
        <f t="shared" si="11"/>
        <v>11304.754261199691</v>
      </c>
      <c r="G123" s="19"/>
      <c r="H123" s="20">
        <f t="shared" si="6"/>
        <v>2402.7055407295447</v>
      </c>
      <c r="I123" s="20">
        <f t="shared" si="7"/>
        <v>-353.70554072954474</v>
      </c>
    </row>
    <row r="124" spans="1:9" ht="15" customHeight="1" x14ac:dyDescent="0.3">
      <c r="A124" s="17">
        <v>122</v>
      </c>
      <c r="B124" s="17">
        <v>2610</v>
      </c>
      <c r="C124" s="23">
        <f t="shared" si="8"/>
        <v>2222</v>
      </c>
      <c r="D124" s="23">
        <f t="shared" si="9"/>
        <v>388</v>
      </c>
      <c r="E124" s="23">
        <f t="shared" si="10"/>
        <v>4272.5</v>
      </c>
      <c r="F124" s="26">
        <f t="shared" si="11"/>
        <v>12056.982955201234</v>
      </c>
      <c r="G124" s="19"/>
      <c r="H124" s="23">
        <f t="shared" si="6"/>
        <v>2331.9644325836362</v>
      </c>
      <c r="I124" s="23">
        <f t="shared" si="7"/>
        <v>278.03556741636385</v>
      </c>
    </row>
    <row r="125" spans="1:9" ht="15" customHeight="1" x14ac:dyDescent="0.3">
      <c r="A125" s="17">
        <v>123</v>
      </c>
      <c r="B125" s="17">
        <v>2023</v>
      </c>
      <c r="C125" s="24">
        <f t="shared" si="8"/>
        <v>2299</v>
      </c>
      <c r="D125" s="24">
        <f t="shared" si="9"/>
        <v>-276</v>
      </c>
      <c r="E125" s="24">
        <f t="shared" si="10"/>
        <v>3608.5</v>
      </c>
      <c r="F125" s="25">
        <f t="shared" si="11"/>
        <v>11419.754261199691</v>
      </c>
      <c r="G125" s="19"/>
      <c r="H125" s="20">
        <f t="shared" si="6"/>
        <v>2387.5715460669089</v>
      </c>
      <c r="I125" s="20">
        <f t="shared" si="7"/>
        <v>-364.57154606690892</v>
      </c>
    </row>
    <row r="126" spans="1:9" ht="15" customHeight="1" x14ac:dyDescent="0.3">
      <c r="A126" s="17">
        <v>124</v>
      </c>
      <c r="B126" s="17">
        <v>2957</v>
      </c>
      <c r="C126" s="23">
        <f t="shared" si="8"/>
        <v>2217</v>
      </c>
      <c r="D126" s="23">
        <f t="shared" si="9"/>
        <v>740</v>
      </c>
      <c r="E126" s="23">
        <f t="shared" si="10"/>
        <v>4624.5</v>
      </c>
      <c r="F126" s="26">
        <f t="shared" si="11"/>
        <v>12056.982955201234</v>
      </c>
      <c r="G126" s="19"/>
      <c r="H126" s="23">
        <f t="shared" si="6"/>
        <v>2314.6572368535271</v>
      </c>
      <c r="I126" s="23">
        <f t="shared" si="7"/>
        <v>642.34276314647286</v>
      </c>
    </row>
    <row r="127" spans="1:9" ht="15" customHeight="1" x14ac:dyDescent="0.3">
      <c r="A127" s="17">
        <v>125</v>
      </c>
      <c r="B127" s="17">
        <v>2073</v>
      </c>
      <c r="C127" s="24">
        <f t="shared" si="8"/>
        <v>2409.75</v>
      </c>
      <c r="D127" s="24">
        <f t="shared" si="9"/>
        <v>-336.75</v>
      </c>
      <c r="E127" s="24">
        <f t="shared" si="10"/>
        <v>3547.75</v>
      </c>
      <c r="F127" s="25">
        <f t="shared" si="11"/>
        <v>11176.754261199691</v>
      </c>
      <c r="G127" s="19"/>
      <c r="H127" s="20">
        <f t="shared" si="6"/>
        <v>2443.1257894828218</v>
      </c>
      <c r="I127" s="20">
        <f t="shared" si="7"/>
        <v>-370.1257894828218</v>
      </c>
    </row>
    <row r="128" spans="1:9" ht="15" customHeight="1" x14ac:dyDescent="0.3">
      <c r="A128" s="17">
        <v>126</v>
      </c>
      <c r="B128" s="17">
        <v>2077</v>
      </c>
      <c r="C128" s="23">
        <f t="shared" si="8"/>
        <v>2415.75</v>
      </c>
      <c r="D128" s="23">
        <f t="shared" si="9"/>
        <v>-338.75</v>
      </c>
      <c r="E128" s="23">
        <f t="shared" si="10"/>
        <v>3545.75</v>
      </c>
      <c r="F128" s="26">
        <f t="shared" si="11"/>
        <v>11168.754261199691</v>
      </c>
      <c r="G128" s="19"/>
      <c r="H128" s="23">
        <f t="shared" si="6"/>
        <v>2369.1006315862574</v>
      </c>
      <c r="I128" s="23">
        <f t="shared" si="7"/>
        <v>-292.10063158625735</v>
      </c>
    </row>
    <row r="129" spans="1:9" ht="15" customHeight="1" x14ac:dyDescent="0.3">
      <c r="A129" s="17">
        <v>127</v>
      </c>
      <c r="B129" s="17">
        <v>2172</v>
      </c>
      <c r="C129" s="24">
        <f t="shared" si="8"/>
        <v>2282.5</v>
      </c>
      <c r="D129" s="24">
        <f t="shared" si="9"/>
        <v>-110.5</v>
      </c>
      <c r="E129" s="24">
        <f t="shared" si="10"/>
        <v>3774</v>
      </c>
      <c r="F129" s="25">
        <f t="shared" si="11"/>
        <v>12056.982955201234</v>
      </c>
      <c r="G129" s="19"/>
      <c r="H129" s="20">
        <f t="shared" si="6"/>
        <v>2310.6805052690061</v>
      </c>
      <c r="I129" s="20">
        <f t="shared" si="7"/>
        <v>-138.68050526900606</v>
      </c>
    </row>
    <row r="130" spans="1:9" ht="15" customHeight="1" x14ac:dyDescent="0.3">
      <c r="A130" s="17">
        <v>128</v>
      </c>
      <c r="B130" s="17">
        <v>2129</v>
      </c>
      <c r="C130" s="23">
        <f t="shared" si="8"/>
        <v>2319.75</v>
      </c>
      <c r="D130" s="23">
        <f t="shared" si="9"/>
        <v>-190.75</v>
      </c>
      <c r="E130" s="23">
        <f t="shared" si="10"/>
        <v>3693.75</v>
      </c>
      <c r="F130" s="26">
        <f t="shared" si="11"/>
        <v>11760.754261199691</v>
      </c>
      <c r="G130" s="19"/>
      <c r="H130" s="23">
        <f t="shared" si="6"/>
        <v>2282.9444042152049</v>
      </c>
      <c r="I130" s="23">
        <f t="shared" si="7"/>
        <v>-153.94440421520494</v>
      </c>
    </row>
    <row r="131" spans="1:9" ht="15" customHeight="1" x14ac:dyDescent="0.3">
      <c r="A131" s="17">
        <v>129</v>
      </c>
      <c r="B131" s="17">
        <v>2583</v>
      </c>
      <c r="C131" s="24">
        <f t="shared" si="8"/>
        <v>2112.75</v>
      </c>
      <c r="D131" s="24">
        <f t="shared" si="9"/>
        <v>470.25</v>
      </c>
      <c r="E131" s="24">
        <f t="shared" si="10"/>
        <v>4354.75</v>
      </c>
      <c r="F131" s="25">
        <f t="shared" si="11"/>
        <v>12056.982955201234</v>
      </c>
      <c r="G131" s="19"/>
      <c r="H131" s="20">
        <f t="shared" si="6"/>
        <v>2252.1555233721642</v>
      </c>
      <c r="I131" s="20">
        <f t="shared" si="7"/>
        <v>330.84447662783577</v>
      </c>
    </row>
    <row r="132" spans="1:9" ht="15" customHeight="1" x14ac:dyDescent="0.3">
      <c r="A132" s="17">
        <v>130</v>
      </c>
      <c r="B132" s="17">
        <v>3009</v>
      </c>
      <c r="C132" s="23">
        <f t="shared" si="8"/>
        <v>2240.25</v>
      </c>
      <c r="D132" s="23">
        <f t="shared" si="9"/>
        <v>768.75</v>
      </c>
      <c r="E132" s="23">
        <f t="shared" si="10"/>
        <v>4653.25</v>
      </c>
      <c r="F132" s="26">
        <f t="shared" si="11"/>
        <v>12056.982955201234</v>
      </c>
      <c r="G132" s="19"/>
      <c r="H132" s="23">
        <f t="shared" ref="H132:H195" si="12">0.2*B131+0.8*H131</f>
        <v>2318.3244186977313</v>
      </c>
      <c r="I132" s="23">
        <f t="shared" ref="I132:I195" si="13">B132-H132</f>
        <v>690.67558130226871</v>
      </c>
    </row>
    <row r="133" spans="1:9" ht="15" customHeight="1" x14ac:dyDescent="0.3">
      <c r="A133" s="17">
        <v>131</v>
      </c>
      <c r="B133" s="17">
        <v>2315</v>
      </c>
      <c r="C133" s="24">
        <f t="shared" si="8"/>
        <v>2473.25</v>
      </c>
      <c r="D133" s="24">
        <f t="shared" si="9"/>
        <v>-158.25</v>
      </c>
      <c r="E133" s="24">
        <f t="shared" si="10"/>
        <v>3726.25</v>
      </c>
      <c r="F133" s="25">
        <f t="shared" si="11"/>
        <v>11890.754261199691</v>
      </c>
      <c r="G133" s="19"/>
      <c r="H133" s="20">
        <f t="shared" si="12"/>
        <v>2456.459534958185</v>
      </c>
      <c r="I133" s="20">
        <f t="shared" si="13"/>
        <v>-141.45953495818503</v>
      </c>
    </row>
    <row r="134" spans="1:9" ht="15" customHeight="1" x14ac:dyDescent="0.3">
      <c r="A134" s="17">
        <v>132</v>
      </c>
      <c r="B134" s="17">
        <v>2549</v>
      </c>
      <c r="C134" s="23">
        <f t="shared" si="8"/>
        <v>2509</v>
      </c>
      <c r="D134" s="23">
        <f t="shared" si="9"/>
        <v>40</v>
      </c>
      <c r="E134" s="23">
        <f t="shared" si="10"/>
        <v>3924.5</v>
      </c>
      <c r="F134" s="26">
        <f t="shared" si="11"/>
        <v>12056.982955201234</v>
      </c>
      <c r="G134" s="19"/>
      <c r="H134" s="23">
        <f t="shared" si="12"/>
        <v>2428.167627966548</v>
      </c>
      <c r="I134" s="23">
        <f t="shared" si="13"/>
        <v>120.83237203345197</v>
      </c>
    </row>
    <row r="135" spans="1:9" ht="15" customHeight="1" x14ac:dyDescent="0.3">
      <c r="A135" s="17">
        <v>133</v>
      </c>
      <c r="B135" s="17">
        <v>2817</v>
      </c>
      <c r="C135" s="24">
        <f t="shared" ref="C135:C198" si="14">AVERAGE(B131:B134)</f>
        <v>2614</v>
      </c>
      <c r="D135" s="24">
        <f t="shared" ref="D135:D198" si="15">B135-C135</f>
        <v>203</v>
      </c>
      <c r="E135" s="24">
        <f t="shared" ref="E135:E198" si="16">$C$502+D135</f>
        <v>4087.5</v>
      </c>
      <c r="F135" s="25">
        <f t="shared" ref="F135:F198" si="17">4*MIN(E135,$E$509)-0.8*$E$509</f>
        <v>12056.982955201234</v>
      </c>
      <c r="G135" s="19"/>
      <c r="H135" s="20">
        <f t="shared" si="12"/>
        <v>2452.3341023732387</v>
      </c>
      <c r="I135" s="20">
        <f t="shared" si="13"/>
        <v>364.66589762676131</v>
      </c>
    </row>
    <row r="136" spans="1:9" ht="15" customHeight="1" x14ac:dyDescent="0.3">
      <c r="A136" s="17">
        <v>134</v>
      </c>
      <c r="B136" s="17">
        <v>2610</v>
      </c>
      <c r="C136" s="23">
        <f t="shared" si="14"/>
        <v>2672.5</v>
      </c>
      <c r="D136" s="23">
        <f t="shared" si="15"/>
        <v>-62.5</v>
      </c>
      <c r="E136" s="23">
        <f t="shared" si="16"/>
        <v>3822</v>
      </c>
      <c r="F136" s="26">
        <f t="shared" si="17"/>
        <v>12056.982955201234</v>
      </c>
      <c r="G136" s="19"/>
      <c r="H136" s="23">
        <f t="shared" si="12"/>
        <v>2525.2672818985911</v>
      </c>
      <c r="I136" s="23">
        <f t="shared" si="13"/>
        <v>84.732718101408864</v>
      </c>
    </row>
    <row r="137" spans="1:9" ht="15" customHeight="1" x14ac:dyDescent="0.3">
      <c r="A137" s="17">
        <v>135</v>
      </c>
      <c r="B137" s="17">
        <v>2744</v>
      </c>
      <c r="C137" s="24">
        <f t="shared" si="14"/>
        <v>2572.75</v>
      </c>
      <c r="D137" s="24">
        <f t="shared" si="15"/>
        <v>171.25</v>
      </c>
      <c r="E137" s="24">
        <f t="shared" si="16"/>
        <v>4055.75</v>
      </c>
      <c r="F137" s="25">
        <f t="shared" si="17"/>
        <v>12056.982955201234</v>
      </c>
      <c r="G137" s="19"/>
      <c r="H137" s="20">
        <f t="shared" si="12"/>
        <v>2542.2138255188729</v>
      </c>
      <c r="I137" s="20">
        <f t="shared" si="13"/>
        <v>201.78617448112709</v>
      </c>
    </row>
    <row r="138" spans="1:9" ht="15" customHeight="1" x14ac:dyDescent="0.3">
      <c r="A138" s="17">
        <v>136</v>
      </c>
      <c r="B138" s="17">
        <v>2103</v>
      </c>
      <c r="C138" s="23">
        <f t="shared" si="14"/>
        <v>2680</v>
      </c>
      <c r="D138" s="23">
        <f t="shared" si="15"/>
        <v>-577</v>
      </c>
      <c r="E138" s="23">
        <f t="shared" si="16"/>
        <v>3307.5</v>
      </c>
      <c r="F138" s="26">
        <f t="shared" si="17"/>
        <v>10215.754261199691</v>
      </c>
      <c r="G138" s="19"/>
      <c r="H138" s="23">
        <f t="shared" si="12"/>
        <v>2582.5710604150986</v>
      </c>
      <c r="I138" s="23">
        <f t="shared" si="13"/>
        <v>-479.5710604150986</v>
      </c>
    </row>
    <row r="139" spans="1:9" ht="15" customHeight="1" x14ac:dyDescent="0.3">
      <c r="A139" s="17">
        <v>137</v>
      </c>
      <c r="B139" s="17">
        <v>2247</v>
      </c>
      <c r="C139" s="24">
        <f t="shared" si="14"/>
        <v>2568.5</v>
      </c>
      <c r="D139" s="24">
        <f t="shared" si="15"/>
        <v>-321.5</v>
      </c>
      <c r="E139" s="24">
        <f t="shared" si="16"/>
        <v>3563</v>
      </c>
      <c r="F139" s="25">
        <f t="shared" si="17"/>
        <v>11237.754261199691</v>
      </c>
      <c r="G139" s="19"/>
      <c r="H139" s="20">
        <f t="shared" si="12"/>
        <v>2486.6568483320789</v>
      </c>
      <c r="I139" s="20">
        <f t="shared" si="13"/>
        <v>-239.65684833207888</v>
      </c>
    </row>
    <row r="140" spans="1:9" ht="15" customHeight="1" x14ac:dyDescent="0.3">
      <c r="A140" s="17">
        <v>138</v>
      </c>
      <c r="B140" s="17">
        <v>2859</v>
      </c>
      <c r="C140" s="23">
        <f t="shared" si="14"/>
        <v>2426</v>
      </c>
      <c r="D140" s="23">
        <f t="shared" si="15"/>
        <v>433</v>
      </c>
      <c r="E140" s="23">
        <f t="shared" si="16"/>
        <v>4317.5</v>
      </c>
      <c r="F140" s="26">
        <f t="shared" si="17"/>
        <v>12056.982955201234</v>
      </c>
      <c r="G140" s="19"/>
      <c r="H140" s="23">
        <f t="shared" si="12"/>
        <v>2438.7254786656631</v>
      </c>
      <c r="I140" s="23">
        <f t="shared" si="13"/>
        <v>420.2745213343369</v>
      </c>
    </row>
    <row r="141" spans="1:9" ht="15" customHeight="1" x14ac:dyDescent="0.3">
      <c r="A141" s="17">
        <v>139</v>
      </c>
      <c r="B141" s="17">
        <v>2665</v>
      </c>
      <c r="C141" s="24">
        <f t="shared" si="14"/>
        <v>2488.25</v>
      </c>
      <c r="D141" s="24">
        <f t="shared" si="15"/>
        <v>176.75</v>
      </c>
      <c r="E141" s="24">
        <f t="shared" si="16"/>
        <v>4061.25</v>
      </c>
      <c r="F141" s="25">
        <f t="shared" si="17"/>
        <v>12056.982955201234</v>
      </c>
      <c r="G141" s="19"/>
      <c r="H141" s="20">
        <f t="shared" si="12"/>
        <v>2522.7803829325308</v>
      </c>
      <c r="I141" s="20">
        <f t="shared" si="13"/>
        <v>142.21961706746924</v>
      </c>
    </row>
    <row r="142" spans="1:9" ht="15" customHeight="1" x14ac:dyDescent="0.3">
      <c r="A142" s="17">
        <v>140</v>
      </c>
      <c r="B142" s="17">
        <v>2650</v>
      </c>
      <c r="C142" s="23">
        <f t="shared" si="14"/>
        <v>2468.5</v>
      </c>
      <c r="D142" s="23">
        <f t="shared" si="15"/>
        <v>181.5</v>
      </c>
      <c r="E142" s="23">
        <f t="shared" si="16"/>
        <v>4066</v>
      </c>
      <c r="F142" s="26">
        <f t="shared" si="17"/>
        <v>12056.982955201234</v>
      </c>
      <c r="G142" s="19"/>
      <c r="H142" s="23">
        <f t="shared" si="12"/>
        <v>2551.2243063460246</v>
      </c>
      <c r="I142" s="23">
        <f t="shared" si="13"/>
        <v>98.775693653975395</v>
      </c>
    </row>
    <row r="143" spans="1:9" ht="15" customHeight="1" x14ac:dyDescent="0.3">
      <c r="A143" s="17">
        <v>141</v>
      </c>
      <c r="B143" s="17">
        <v>3017</v>
      </c>
      <c r="C143" s="24">
        <f t="shared" si="14"/>
        <v>2605.25</v>
      </c>
      <c r="D143" s="24">
        <f t="shared" si="15"/>
        <v>411.75</v>
      </c>
      <c r="E143" s="24">
        <f t="shared" si="16"/>
        <v>4296.25</v>
      </c>
      <c r="F143" s="25">
        <f t="shared" si="17"/>
        <v>12056.982955201234</v>
      </c>
      <c r="G143" s="19"/>
      <c r="H143" s="20">
        <f t="shared" si="12"/>
        <v>2570.9794450768195</v>
      </c>
      <c r="I143" s="20">
        <f t="shared" si="13"/>
        <v>446.0205549231805</v>
      </c>
    </row>
    <row r="144" spans="1:9" ht="15" customHeight="1" x14ac:dyDescent="0.3">
      <c r="A144" s="17">
        <v>142</v>
      </c>
      <c r="B144" s="17">
        <v>2954</v>
      </c>
      <c r="C144" s="23">
        <f t="shared" si="14"/>
        <v>2797.75</v>
      </c>
      <c r="D144" s="23">
        <f t="shared" si="15"/>
        <v>156.25</v>
      </c>
      <c r="E144" s="23">
        <f t="shared" si="16"/>
        <v>4040.75</v>
      </c>
      <c r="F144" s="26">
        <f t="shared" si="17"/>
        <v>12056.982955201234</v>
      </c>
      <c r="G144" s="19"/>
      <c r="H144" s="23">
        <f t="shared" si="12"/>
        <v>2660.1835560614559</v>
      </c>
      <c r="I144" s="23">
        <f t="shared" si="13"/>
        <v>293.81644393854413</v>
      </c>
    </row>
    <row r="145" spans="1:9" ht="15" customHeight="1" x14ac:dyDescent="0.3">
      <c r="A145" s="17">
        <v>143</v>
      </c>
      <c r="B145" s="17">
        <v>2291</v>
      </c>
      <c r="C145" s="24">
        <f t="shared" si="14"/>
        <v>2821.5</v>
      </c>
      <c r="D145" s="24">
        <f t="shared" si="15"/>
        <v>-530.5</v>
      </c>
      <c r="E145" s="24">
        <f t="shared" si="16"/>
        <v>3354</v>
      </c>
      <c r="F145" s="25">
        <f t="shared" si="17"/>
        <v>10401.754261199691</v>
      </c>
      <c r="G145" s="19"/>
      <c r="H145" s="20">
        <f t="shared" si="12"/>
        <v>2718.9468448491648</v>
      </c>
      <c r="I145" s="20">
        <f t="shared" si="13"/>
        <v>-427.94684484916479</v>
      </c>
    </row>
    <row r="146" spans="1:9" ht="15" customHeight="1" x14ac:dyDescent="0.3">
      <c r="A146" s="17">
        <v>144</v>
      </c>
      <c r="B146" s="17">
        <v>2322</v>
      </c>
      <c r="C146" s="23">
        <f t="shared" si="14"/>
        <v>2728</v>
      </c>
      <c r="D146" s="23">
        <f t="shared" si="15"/>
        <v>-406</v>
      </c>
      <c r="E146" s="23">
        <f t="shared" si="16"/>
        <v>3478.5</v>
      </c>
      <c r="F146" s="26">
        <f t="shared" si="17"/>
        <v>10899.754261199691</v>
      </c>
      <c r="G146" s="19"/>
      <c r="H146" s="23">
        <f t="shared" si="12"/>
        <v>2633.357475879332</v>
      </c>
      <c r="I146" s="23">
        <f t="shared" si="13"/>
        <v>-311.35747587933201</v>
      </c>
    </row>
    <row r="147" spans="1:9" ht="15" customHeight="1" x14ac:dyDescent="0.3">
      <c r="A147" s="17">
        <v>145</v>
      </c>
      <c r="B147" s="17">
        <v>2361</v>
      </c>
      <c r="C147" s="24">
        <f t="shared" si="14"/>
        <v>2646</v>
      </c>
      <c r="D147" s="24">
        <f t="shared" si="15"/>
        <v>-285</v>
      </c>
      <c r="E147" s="24">
        <f t="shared" si="16"/>
        <v>3599.5</v>
      </c>
      <c r="F147" s="25">
        <f t="shared" si="17"/>
        <v>11383.754261199691</v>
      </c>
      <c r="G147" s="19"/>
      <c r="H147" s="20">
        <f t="shared" si="12"/>
        <v>2571.0859807034658</v>
      </c>
      <c r="I147" s="20">
        <f t="shared" si="13"/>
        <v>-210.08598070346579</v>
      </c>
    </row>
    <row r="148" spans="1:9" ht="15" customHeight="1" x14ac:dyDescent="0.3">
      <c r="A148" s="17">
        <v>146</v>
      </c>
      <c r="B148" s="17">
        <v>2402</v>
      </c>
      <c r="C148" s="23">
        <f t="shared" si="14"/>
        <v>2482</v>
      </c>
      <c r="D148" s="23">
        <f t="shared" si="15"/>
        <v>-80</v>
      </c>
      <c r="E148" s="23">
        <f t="shared" si="16"/>
        <v>3804.5</v>
      </c>
      <c r="F148" s="26">
        <f t="shared" si="17"/>
        <v>12056.982955201234</v>
      </c>
      <c r="G148" s="19"/>
      <c r="H148" s="23">
        <f t="shared" si="12"/>
        <v>2529.0687845627726</v>
      </c>
      <c r="I148" s="23">
        <f t="shared" si="13"/>
        <v>-127.06878456277263</v>
      </c>
    </row>
    <row r="149" spans="1:9" ht="15" customHeight="1" x14ac:dyDescent="0.3">
      <c r="A149" s="17">
        <v>147</v>
      </c>
      <c r="B149" s="17">
        <v>2453</v>
      </c>
      <c r="C149" s="24">
        <f t="shared" si="14"/>
        <v>2344</v>
      </c>
      <c r="D149" s="24">
        <f t="shared" si="15"/>
        <v>109</v>
      </c>
      <c r="E149" s="24">
        <f t="shared" si="16"/>
        <v>3993.5</v>
      </c>
      <c r="F149" s="25">
        <f t="shared" si="17"/>
        <v>12056.982955201234</v>
      </c>
      <c r="G149" s="19"/>
      <c r="H149" s="20">
        <f t="shared" si="12"/>
        <v>2503.655027650218</v>
      </c>
      <c r="I149" s="20">
        <f t="shared" si="13"/>
        <v>-50.655027650218017</v>
      </c>
    </row>
    <row r="150" spans="1:9" ht="15" customHeight="1" x14ac:dyDescent="0.3">
      <c r="A150" s="17">
        <v>148</v>
      </c>
      <c r="B150" s="17">
        <v>2351</v>
      </c>
      <c r="C150" s="23">
        <f t="shared" si="14"/>
        <v>2384.5</v>
      </c>
      <c r="D150" s="23">
        <f t="shared" si="15"/>
        <v>-33.5</v>
      </c>
      <c r="E150" s="23">
        <f t="shared" si="16"/>
        <v>3851</v>
      </c>
      <c r="F150" s="26">
        <f t="shared" si="17"/>
        <v>12056.982955201234</v>
      </c>
      <c r="G150" s="19"/>
      <c r="H150" s="23">
        <f t="shared" si="12"/>
        <v>2493.5240221201743</v>
      </c>
      <c r="I150" s="23">
        <f t="shared" si="13"/>
        <v>-142.52402212017432</v>
      </c>
    </row>
    <row r="151" spans="1:9" ht="15" customHeight="1" x14ac:dyDescent="0.3">
      <c r="A151" s="17">
        <v>149</v>
      </c>
      <c r="B151" s="17">
        <v>2985</v>
      </c>
      <c r="C151" s="24">
        <f t="shared" si="14"/>
        <v>2391.75</v>
      </c>
      <c r="D151" s="24">
        <f t="shared" si="15"/>
        <v>593.25</v>
      </c>
      <c r="E151" s="24">
        <f t="shared" si="16"/>
        <v>4477.75</v>
      </c>
      <c r="F151" s="25">
        <f t="shared" si="17"/>
        <v>12056.982955201234</v>
      </c>
      <c r="G151" s="19"/>
      <c r="H151" s="20">
        <f t="shared" si="12"/>
        <v>2465.0192176961395</v>
      </c>
      <c r="I151" s="20">
        <f t="shared" si="13"/>
        <v>519.98078230386045</v>
      </c>
    </row>
    <row r="152" spans="1:9" ht="15" customHeight="1" x14ac:dyDescent="0.3">
      <c r="A152" s="17">
        <v>150</v>
      </c>
      <c r="B152" s="17">
        <v>2681</v>
      </c>
      <c r="C152" s="23">
        <f t="shared" si="14"/>
        <v>2547.75</v>
      </c>
      <c r="D152" s="23">
        <f t="shared" si="15"/>
        <v>133.25</v>
      </c>
      <c r="E152" s="23">
        <f t="shared" si="16"/>
        <v>4017.75</v>
      </c>
      <c r="F152" s="26">
        <f t="shared" si="17"/>
        <v>12056.982955201234</v>
      </c>
      <c r="G152" s="19"/>
      <c r="H152" s="23">
        <f t="shared" si="12"/>
        <v>2569.015374156912</v>
      </c>
      <c r="I152" s="23">
        <f t="shared" si="13"/>
        <v>111.984625843088</v>
      </c>
    </row>
    <row r="153" spans="1:9" ht="15" customHeight="1" x14ac:dyDescent="0.3">
      <c r="A153" s="17">
        <v>151</v>
      </c>
      <c r="B153" s="17">
        <v>2851</v>
      </c>
      <c r="C153" s="24">
        <f t="shared" si="14"/>
        <v>2617.5</v>
      </c>
      <c r="D153" s="24">
        <f t="shared" si="15"/>
        <v>233.5</v>
      </c>
      <c r="E153" s="24">
        <f t="shared" si="16"/>
        <v>4118</v>
      </c>
      <c r="F153" s="25">
        <f t="shared" si="17"/>
        <v>12056.982955201234</v>
      </c>
      <c r="G153" s="19"/>
      <c r="H153" s="20">
        <f t="shared" si="12"/>
        <v>2591.4122993255296</v>
      </c>
      <c r="I153" s="20">
        <f t="shared" si="13"/>
        <v>259.5877006744704</v>
      </c>
    </row>
    <row r="154" spans="1:9" ht="15" customHeight="1" x14ac:dyDescent="0.3">
      <c r="A154" s="17">
        <v>152</v>
      </c>
      <c r="B154" s="17">
        <v>2662</v>
      </c>
      <c r="C154" s="23">
        <f t="shared" si="14"/>
        <v>2717</v>
      </c>
      <c r="D154" s="23">
        <f t="shared" si="15"/>
        <v>-55</v>
      </c>
      <c r="E154" s="23">
        <f t="shared" si="16"/>
        <v>3829.5</v>
      </c>
      <c r="F154" s="26">
        <f t="shared" si="17"/>
        <v>12056.982955201234</v>
      </c>
      <c r="G154" s="19"/>
      <c r="H154" s="23">
        <f t="shared" si="12"/>
        <v>2643.3298394604235</v>
      </c>
      <c r="I154" s="23">
        <f t="shared" si="13"/>
        <v>18.6701605395765</v>
      </c>
    </row>
    <row r="155" spans="1:9" ht="15" customHeight="1" x14ac:dyDescent="0.3">
      <c r="A155" s="17">
        <v>153</v>
      </c>
      <c r="B155" s="17">
        <v>2372</v>
      </c>
      <c r="C155" s="24">
        <f t="shared" si="14"/>
        <v>2794.75</v>
      </c>
      <c r="D155" s="24">
        <f t="shared" si="15"/>
        <v>-422.75</v>
      </c>
      <c r="E155" s="24">
        <f t="shared" si="16"/>
        <v>3461.75</v>
      </c>
      <c r="F155" s="25">
        <f t="shared" si="17"/>
        <v>10832.754261199691</v>
      </c>
      <c r="G155" s="19"/>
      <c r="H155" s="20">
        <f t="shared" si="12"/>
        <v>2647.063871568339</v>
      </c>
      <c r="I155" s="20">
        <f t="shared" si="13"/>
        <v>-275.06387156833898</v>
      </c>
    </row>
    <row r="156" spans="1:9" ht="15" customHeight="1" x14ac:dyDescent="0.3">
      <c r="A156" s="17">
        <v>154</v>
      </c>
      <c r="B156" s="17">
        <v>2794</v>
      </c>
      <c r="C156" s="23">
        <f t="shared" si="14"/>
        <v>2641.5</v>
      </c>
      <c r="D156" s="23">
        <f t="shared" si="15"/>
        <v>152.5</v>
      </c>
      <c r="E156" s="23">
        <f t="shared" si="16"/>
        <v>4037</v>
      </c>
      <c r="F156" s="26">
        <f t="shared" si="17"/>
        <v>12056.982955201234</v>
      </c>
      <c r="G156" s="19"/>
      <c r="H156" s="23">
        <f t="shared" si="12"/>
        <v>2592.0510972546713</v>
      </c>
      <c r="I156" s="23">
        <f t="shared" si="13"/>
        <v>201.94890274532872</v>
      </c>
    </row>
    <row r="157" spans="1:9" ht="15" customHeight="1" x14ac:dyDescent="0.3">
      <c r="A157" s="17">
        <v>155</v>
      </c>
      <c r="B157" s="17">
        <v>3103</v>
      </c>
      <c r="C157" s="24">
        <f t="shared" si="14"/>
        <v>2669.75</v>
      </c>
      <c r="D157" s="24">
        <f t="shared" si="15"/>
        <v>433.25</v>
      </c>
      <c r="E157" s="24">
        <f t="shared" si="16"/>
        <v>4317.75</v>
      </c>
      <c r="F157" s="25">
        <f t="shared" si="17"/>
        <v>12056.982955201234</v>
      </c>
      <c r="G157" s="19"/>
      <c r="H157" s="20">
        <f t="shared" si="12"/>
        <v>2632.4408778037373</v>
      </c>
      <c r="I157" s="20">
        <f t="shared" si="13"/>
        <v>470.55912219626271</v>
      </c>
    </row>
    <row r="158" spans="1:9" ht="15" customHeight="1" x14ac:dyDescent="0.3">
      <c r="A158" s="17">
        <v>156</v>
      </c>
      <c r="B158" s="17">
        <v>2515</v>
      </c>
      <c r="C158" s="23">
        <f t="shared" si="14"/>
        <v>2732.75</v>
      </c>
      <c r="D158" s="23">
        <f t="shared" si="15"/>
        <v>-217.75</v>
      </c>
      <c r="E158" s="23">
        <f t="shared" si="16"/>
        <v>3666.75</v>
      </c>
      <c r="F158" s="26">
        <f t="shared" si="17"/>
        <v>11652.754261199691</v>
      </c>
      <c r="G158" s="19"/>
      <c r="H158" s="23">
        <f t="shared" si="12"/>
        <v>2726.5527022429897</v>
      </c>
      <c r="I158" s="23">
        <f t="shared" si="13"/>
        <v>-211.55270224298965</v>
      </c>
    </row>
    <row r="159" spans="1:9" ht="15" customHeight="1" x14ac:dyDescent="0.3">
      <c r="A159" s="17">
        <v>157</v>
      </c>
      <c r="B159" s="17">
        <v>3057</v>
      </c>
      <c r="C159" s="24">
        <f t="shared" si="14"/>
        <v>2696</v>
      </c>
      <c r="D159" s="24">
        <f t="shared" si="15"/>
        <v>361</v>
      </c>
      <c r="E159" s="24">
        <f t="shared" si="16"/>
        <v>4245.5</v>
      </c>
      <c r="F159" s="25">
        <f t="shared" si="17"/>
        <v>12056.982955201234</v>
      </c>
      <c r="G159" s="19"/>
      <c r="H159" s="20">
        <f t="shared" si="12"/>
        <v>2684.2421617943919</v>
      </c>
      <c r="I159" s="20">
        <f t="shared" si="13"/>
        <v>372.7578382056081</v>
      </c>
    </row>
    <row r="160" spans="1:9" ht="15" customHeight="1" x14ac:dyDescent="0.3">
      <c r="A160" s="17">
        <v>158</v>
      </c>
      <c r="B160" s="17">
        <v>2385</v>
      </c>
      <c r="C160" s="23">
        <f t="shared" si="14"/>
        <v>2867.25</v>
      </c>
      <c r="D160" s="23">
        <f t="shared" si="15"/>
        <v>-482.25</v>
      </c>
      <c r="E160" s="23">
        <f t="shared" si="16"/>
        <v>3402.25</v>
      </c>
      <c r="F160" s="26">
        <f t="shared" si="17"/>
        <v>10594.754261199691</v>
      </c>
      <c r="G160" s="19"/>
      <c r="H160" s="23">
        <f t="shared" si="12"/>
        <v>2758.7937294355138</v>
      </c>
      <c r="I160" s="23">
        <f t="shared" si="13"/>
        <v>-373.7937294355138</v>
      </c>
    </row>
    <row r="161" spans="1:9" ht="15" customHeight="1" x14ac:dyDescent="0.3">
      <c r="A161" s="17">
        <v>159</v>
      </c>
      <c r="B161" s="17">
        <v>2229</v>
      </c>
      <c r="C161" s="24">
        <f t="shared" si="14"/>
        <v>2765</v>
      </c>
      <c r="D161" s="24">
        <f t="shared" si="15"/>
        <v>-536</v>
      </c>
      <c r="E161" s="24">
        <f t="shared" si="16"/>
        <v>3348.5</v>
      </c>
      <c r="F161" s="25">
        <f t="shared" si="17"/>
        <v>10379.754261199691</v>
      </c>
      <c r="G161" s="19"/>
      <c r="H161" s="20">
        <f t="shared" si="12"/>
        <v>2684.0349835484112</v>
      </c>
      <c r="I161" s="20">
        <f t="shared" si="13"/>
        <v>-455.03498354841122</v>
      </c>
    </row>
    <row r="162" spans="1:9" ht="15" customHeight="1" x14ac:dyDescent="0.3">
      <c r="A162" s="17">
        <v>160</v>
      </c>
      <c r="B162" s="17">
        <v>2569</v>
      </c>
      <c r="C162" s="23">
        <f t="shared" si="14"/>
        <v>2546.5</v>
      </c>
      <c r="D162" s="23">
        <f t="shared" si="15"/>
        <v>22.5</v>
      </c>
      <c r="E162" s="23">
        <f t="shared" si="16"/>
        <v>3907</v>
      </c>
      <c r="F162" s="26">
        <f t="shared" si="17"/>
        <v>12056.982955201234</v>
      </c>
      <c r="G162" s="19"/>
      <c r="H162" s="23">
        <f t="shared" si="12"/>
        <v>2593.0279868387292</v>
      </c>
      <c r="I162" s="23">
        <f t="shared" si="13"/>
        <v>-24.027986838729248</v>
      </c>
    </row>
    <row r="163" spans="1:9" ht="15" customHeight="1" x14ac:dyDescent="0.3">
      <c r="A163" s="17">
        <v>161</v>
      </c>
      <c r="B163" s="17">
        <v>2173</v>
      </c>
      <c r="C163" s="24">
        <f t="shared" si="14"/>
        <v>2560</v>
      </c>
      <c r="D163" s="24">
        <f t="shared" si="15"/>
        <v>-387</v>
      </c>
      <c r="E163" s="24">
        <f t="shared" si="16"/>
        <v>3497.5</v>
      </c>
      <c r="F163" s="25">
        <f t="shared" si="17"/>
        <v>10975.754261199691</v>
      </c>
      <c r="G163" s="19"/>
      <c r="H163" s="20">
        <f t="shared" si="12"/>
        <v>2588.2223894709837</v>
      </c>
      <c r="I163" s="20">
        <f t="shared" si="13"/>
        <v>-415.22238947098367</v>
      </c>
    </row>
    <row r="164" spans="1:9" ht="15" customHeight="1" x14ac:dyDescent="0.3">
      <c r="A164" s="17">
        <v>162</v>
      </c>
      <c r="B164" s="17">
        <v>2665</v>
      </c>
      <c r="C164" s="23">
        <f t="shared" si="14"/>
        <v>2339</v>
      </c>
      <c r="D164" s="23">
        <f t="shared" si="15"/>
        <v>326</v>
      </c>
      <c r="E164" s="23">
        <f t="shared" si="16"/>
        <v>4210.5</v>
      </c>
      <c r="F164" s="26">
        <f t="shared" si="17"/>
        <v>12056.982955201234</v>
      </c>
      <c r="G164" s="19"/>
      <c r="H164" s="23">
        <f t="shared" si="12"/>
        <v>2505.1779115767868</v>
      </c>
      <c r="I164" s="23">
        <f t="shared" si="13"/>
        <v>159.82208842321324</v>
      </c>
    </row>
    <row r="165" spans="1:9" ht="15" customHeight="1" x14ac:dyDescent="0.3">
      <c r="A165" s="17">
        <v>163</v>
      </c>
      <c r="B165" s="17">
        <v>3134</v>
      </c>
      <c r="C165" s="24">
        <f t="shared" si="14"/>
        <v>2409</v>
      </c>
      <c r="D165" s="24">
        <f t="shared" si="15"/>
        <v>725</v>
      </c>
      <c r="E165" s="24">
        <f t="shared" si="16"/>
        <v>4609.5</v>
      </c>
      <c r="F165" s="25">
        <f t="shared" si="17"/>
        <v>12056.982955201234</v>
      </c>
      <c r="G165" s="19"/>
      <c r="H165" s="20">
        <f t="shared" si="12"/>
        <v>2537.1423292614295</v>
      </c>
      <c r="I165" s="20">
        <f t="shared" si="13"/>
        <v>596.8576707385705</v>
      </c>
    </row>
    <row r="166" spans="1:9" ht="15" customHeight="1" x14ac:dyDescent="0.3">
      <c r="A166" s="17">
        <v>164</v>
      </c>
      <c r="B166" s="17">
        <v>2628</v>
      </c>
      <c r="C166" s="23">
        <f t="shared" si="14"/>
        <v>2635.25</v>
      </c>
      <c r="D166" s="23">
        <f t="shared" si="15"/>
        <v>-7.25</v>
      </c>
      <c r="E166" s="23">
        <f t="shared" si="16"/>
        <v>3877.25</v>
      </c>
      <c r="F166" s="26">
        <f t="shared" si="17"/>
        <v>12056.982955201234</v>
      </c>
      <c r="G166" s="19"/>
      <c r="H166" s="23">
        <f t="shared" si="12"/>
        <v>2656.5138634091436</v>
      </c>
      <c r="I166" s="23">
        <f t="shared" si="13"/>
        <v>-28.513863409143596</v>
      </c>
    </row>
    <row r="167" spans="1:9" ht="15" customHeight="1" x14ac:dyDescent="0.3">
      <c r="A167" s="17">
        <v>165</v>
      </c>
      <c r="B167" s="17">
        <v>2520</v>
      </c>
      <c r="C167" s="24">
        <f t="shared" si="14"/>
        <v>2650</v>
      </c>
      <c r="D167" s="24">
        <f t="shared" si="15"/>
        <v>-130</v>
      </c>
      <c r="E167" s="24">
        <f t="shared" si="16"/>
        <v>3754.5</v>
      </c>
      <c r="F167" s="25">
        <f t="shared" si="17"/>
        <v>12003.754261199691</v>
      </c>
      <c r="G167" s="19"/>
      <c r="H167" s="20">
        <f t="shared" si="12"/>
        <v>2650.8110907273149</v>
      </c>
      <c r="I167" s="20">
        <f t="shared" si="13"/>
        <v>-130.81109072731488</v>
      </c>
    </row>
    <row r="168" spans="1:9" ht="15" customHeight="1" x14ac:dyDescent="0.3">
      <c r="A168" s="17">
        <v>166</v>
      </c>
      <c r="B168" s="17">
        <v>2587</v>
      </c>
      <c r="C168" s="23">
        <f t="shared" si="14"/>
        <v>2736.75</v>
      </c>
      <c r="D168" s="23">
        <f t="shared" si="15"/>
        <v>-149.75</v>
      </c>
      <c r="E168" s="23">
        <f t="shared" si="16"/>
        <v>3734.75</v>
      </c>
      <c r="F168" s="26">
        <f t="shared" si="17"/>
        <v>11924.754261199691</v>
      </c>
      <c r="G168" s="19"/>
      <c r="H168" s="23">
        <f t="shared" si="12"/>
        <v>2624.6488725818522</v>
      </c>
      <c r="I168" s="23">
        <f t="shared" si="13"/>
        <v>-37.648872581852174</v>
      </c>
    </row>
    <row r="169" spans="1:9" ht="15" customHeight="1" x14ac:dyDescent="0.3">
      <c r="A169" s="17">
        <v>167</v>
      </c>
      <c r="B169" s="17">
        <v>2422</v>
      </c>
      <c r="C169" s="24">
        <f t="shared" si="14"/>
        <v>2717.25</v>
      </c>
      <c r="D169" s="24">
        <f t="shared" si="15"/>
        <v>-295.25</v>
      </c>
      <c r="E169" s="24">
        <f t="shared" si="16"/>
        <v>3589.25</v>
      </c>
      <c r="F169" s="25">
        <f t="shared" si="17"/>
        <v>11342.754261199691</v>
      </c>
      <c r="G169" s="19"/>
      <c r="H169" s="20">
        <f t="shared" si="12"/>
        <v>2617.1190980654819</v>
      </c>
      <c r="I169" s="20">
        <f t="shared" si="13"/>
        <v>-195.11909806548192</v>
      </c>
    </row>
    <row r="170" spans="1:9" ht="15" customHeight="1" x14ac:dyDescent="0.3">
      <c r="A170" s="17">
        <v>168</v>
      </c>
      <c r="B170" s="17">
        <v>2648</v>
      </c>
      <c r="C170" s="23">
        <f t="shared" si="14"/>
        <v>2539.25</v>
      </c>
      <c r="D170" s="23">
        <f t="shared" si="15"/>
        <v>108.75</v>
      </c>
      <c r="E170" s="23">
        <f t="shared" si="16"/>
        <v>3993.25</v>
      </c>
      <c r="F170" s="26">
        <f t="shared" si="17"/>
        <v>12056.982955201234</v>
      </c>
      <c r="G170" s="19"/>
      <c r="H170" s="23">
        <f t="shared" si="12"/>
        <v>2578.0952784523856</v>
      </c>
      <c r="I170" s="23">
        <f t="shared" si="13"/>
        <v>69.904721547614372</v>
      </c>
    </row>
    <row r="171" spans="1:9" ht="15" customHeight="1" x14ac:dyDescent="0.3">
      <c r="A171" s="17">
        <v>169</v>
      </c>
      <c r="B171" s="17">
        <v>3021</v>
      </c>
      <c r="C171" s="24">
        <f t="shared" si="14"/>
        <v>2544.25</v>
      </c>
      <c r="D171" s="24">
        <f t="shared" si="15"/>
        <v>476.75</v>
      </c>
      <c r="E171" s="24">
        <f t="shared" si="16"/>
        <v>4361.25</v>
      </c>
      <c r="F171" s="25">
        <f t="shared" si="17"/>
        <v>12056.982955201234</v>
      </c>
      <c r="G171" s="19"/>
      <c r="H171" s="20">
        <f t="shared" si="12"/>
        <v>2592.0762227619084</v>
      </c>
      <c r="I171" s="20">
        <f t="shared" si="13"/>
        <v>428.92377723809159</v>
      </c>
    </row>
    <row r="172" spans="1:9" ht="15" customHeight="1" x14ac:dyDescent="0.3">
      <c r="A172" s="17">
        <v>170</v>
      </c>
      <c r="B172" s="17">
        <v>2605</v>
      </c>
      <c r="C172" s="23">
        <f t="shared" si="14"/>
        <v>2669.5</v>
      </c>
      <c r="D172" s="23">
        <f t="shared" si="15"/>
        <v>-64.5</v>
      </c>
      <c r="E172" s="23">
        <f t="shared" si="16"/>
        <v>3820</v>
      </c>
      <c r="F172" s="26">
        <f t="shared" si="17"/>
        <v>12056.982955201234</v>
      </c>
      <c r="G172" s="19"/>
      <c r="H172" s="23">
        <f t="shared" si="12"/>
        <v>2677.8609782095273</v>
      </c>
      <c r="I172" s="23">
        <f t="shared" si="13"/>
        <v>-72.860978209527275</v>
      </c>
    </row>
    <row r="173" spans="1:9" ht="15" customHeight="1" x14ac:dyDescent="0.3">
      <c r="A173" s="17">
        <v>171</v>
      </c>
      <c r="B173" s="17">
        <v>2780</v>
      </c>
      <c r="C173" s="24">
        <f t="shared" si="14"/>
        <v>2674</v>
      </c>
      <c r="D173" s="24">
        <f t="shared" si="15"/>
        <v>106</v>
      </c>
      <c r="E173" s="24">
        <f t="shared" si="16"/>
        <v>3990.5</v>
      </c>
      <c r="F173" s="25">
        <f t="shared" si="17"/>
        <v>12056.982955201234</v>
      </c>
      <c r="G173" s="19"/>
      <c r="H173" s="20">
        <f t="shared" si="12"/>
        <v>2663.2887825676221</v>
      </c>
      <c r="I173" s="20">
        <f t="shared" si="13"/>
        <v>116.71121743237791</v>
      </c>
    </row>
    <row r="174" spans="1:9" ht="15" customHeight="1" x14ac:dyDescent="0.3">
      <c r="A174" s="17">
        <v>172</v>
      </c>
      <c r="B174" s="17">
        <v>2967</v>
      </c>
      <c r="C174" s="23">
        <f t="shared" si="14"/>
        <v>2763.5</v>
      </c>
      <c r="D174" s="23">
        <f t="shared" si="15"/>
        <v>203.5</v>
      </c>
      <c r="E174" s="23">
        <f t="shared" si="16"/>
        <v>4088</v>
      </c>
      <c r="F174" s="26">
        <f t="shared" si="17"/>
        <v>12056.982955201234</v>
      </c>
      <c r="G174" s="19"/>
      <c r="H174" s="23">
        <f t="shared" si="12"/>
        <v>2686.6310260540977</v>
      </c>
      <c r="I174" s="23">
        <f t="shared" si="13"/>
        <v>280.36897394590233</v>
      </c>
    </row>
    <row r="175" spans="1:9" ht="15" customHeight="1" x14ac:dyDescent="0.3">
      <c r="A175" s="17">
        <v>173</v>
      </c>
      <c r="B175" s="17">
        <v>2983</v>
      </c>
      <c r="C175" s="24">
        <f t="shared" si="14"/>
        <v>2843.25</v>
      </c>
      <c r="D175" s="24">
        <f t="shared" si="15"/>
        <v>139.75</v>
      </c>
      <c r="E175" s="24">
        <f t="shared" si="16"/>
        <v>4024.25</v>
      </c>
      <c r="F175" s="25">
        <f t="shared" si="17"/>
        <v>12056.982955201234</v>
      </c>
      <c r="G175" s="19"/>
      <c r="H175" s="20">
        <f t="shared" si="12"/>
        <v>2742.7048208432784</v>
      </c>
      <c r="I175" s="20">
        <f t="shared" si="13"/>
        <v>240.29517915672159</v>
      </c>
    </row>
    <row r="176" spans="1:9" ht="15" customHeight="1" x14ac:dyDescent="0.3">
      <c r="A176" s="17">
        <v>174</v>
      </c>
      <c r="B176" s="17">
        <v>2343</v>
      </c>
      <c r="C176" s="23">
        <f t="shared" si="14"/>
        <v>2833.75</v>
      </c>
      <c r="D176" s="23">
        <f t="shared" si="15"/>
        <v>-490.75</v>
      </c>
      <c r="E176" s="23">
        <f t="shared" si="16"/>
        <v>3393.75</v>
      </c>
      <c r="F176" s="26">
        <f t="shared" si="17"/>
        <v>10560.754261199691</v>
      </c>
      <c r="G176" s="19"/>
      <c r="H176" s="23">
        <f t="shared" si="12"/>
        <v>2790.7638566746227</v>
      </c>
      <c r="I176" s="23">
        <f t="shared" si="13"/>
        <v>-447.76385667462273</v>
      </c>
    </row>
    <row r="177" spans="1:9" ht="15" customHeight="1" x14ac:dyDescent="0.3">
      <c r="A177" s="17">
        <v>175</v>
      </c>
      <c r="B177" s="17">
        <v>3033</v>
      </c>
      <c r="C177" s="24">
        <f t="shared" si="14"/>
        <v>2768.25</v>
      </c>
      <c r="D177" s="24">
        <f t="shared" si="15"/>
        <v>264.75</v>
      </c>
      <c r="E177" s="24">
        <f t="shared" si="16"/>
        <v>4149.25</v>
      </c>
      <c r="F177" s="25">
        <f t="shared" si="17"/>
        <v>12056.982955201234</v>
      </c>
      <c r="G177" s="19"/>
      <c r="H177" s="20">
        <f t="shared" si="12"/>
        <v>2701.211085339698</v>
      </c>
      <c r="I177" s="20">
        <f t="shared" si="13"/>
        <v>331.788914660302</v>
      </c>
    </row>
    <row r="178" spans="1:9" ht="15" customHeight="1" x14ac:dyDescent="0.3">
      <c r="A178" s="17">
        <v>176</v>
      </c>
      <c r="B178" s="17">
        <v>2957</v>
      </c>
      <c r="C178" s="23">
        <f t="shared" si="14"/>
        <v>2831.5</v>
      </c>
      <c r="D178" s="23">
        <f t="shared" si="15"/>
        <v>125.5</v>
      </c>
      <c r="E178" s="23">
        <f t="shared" si="16"/>
        <v>4010</v>
      </c>
      <c r="F178" s="26">
        <f t="shared" si="17"/>
        <v>12056.982955201234</v>
      </c>
      <c r="G178" s="19"/>
      <c r="H178" s="23">
        <f t="shared" si="12"/>
        <v>2767.5688682717582</v>
      </c>
      <c r="I178" s="23">
        <f t="shared" si="13"/>
        <v>189.43113172824178</v>
      </c>
    </row>
    <row r="179" spans="1:9" ht="15" customHeight="1" x14ac:dyDescent="0.3">
      <c r="A179" s="17">
        <v>177</v>
      </c>
      <c r="B179" s="17">
        <v>3195</v>
      </c>
      <c r="C179" s="24">
        <f t="shared" si="14"/>
        <v>2829</v>
      </c>
      <c r="D179" s="24">
        <f t="shared" si="15"/>
        <v>366</v>
      </c>
      <c r="E179" s="24">
        <f t="shared" si="16"/>
        <v>4250.5</v>
      </c>
      <c r="F179" s="25">
        <f t="shared" si="17"/>
        <v>12056.982955201234</v>
      </c>
      <c r="G179" s="19"/>
      <c r="H179" s="20">
        <f t="shared" si="12"/>
        <v>2805.4550946174068</v>
      </c>
      <c r="I179" s="20">
        <f t="shared" si="13"/>
        <v>389.54490538259324</v>
      </c>
    </row>
    <row r="180" spans="1:9" ht="15" customHeight="1" x14ac:dyDescent="0.3">
      <c r="A180" s="17">
        <v>178</v>
      </c>
      <c r="B180" s="17">
        <v>2507</v>
      </c>
      <c r="C180" s="23">
        <f t="shared" si="14"/>
        <v>2882</v>
      </c>
      <c r="D180" s="23">
        <f t="shared" si="15"/>
        <v>-375</v>
      </c>
      <c r="E180" s="23">
        <f t="shared" si="16"/>
        <v>3509.5</v>
      </c>
      <c r="F180" s="26">
        <f t="shared" si="17"/>
        <v>11023.754261199691</v>
      </c>
      <c r="G180" s="19"/>
      <c r="H180" s="23">
        <f t="shared" si="12"/>
        <v>2883.3640756939253</v>
      </c>
      <c r="I180" s="23">
        <f t="shared" si="13"/>
        <v>-376.36407569392532</v>
      </c>
    </row>
    <row r="181" spans="1:9" ht="15" customHeight="1" x14ac:dyDescent="0.3">
      <c r="A181" s="17">
        <v>179</v>
      </c>
      <c r="B181" s="17">
        <v>3055</v>
      </c>
      <c r="C181" s="24">
        <f t="shared" si="14"/>
        <v>2923</v>
      </c>
      <c r="D181" s="24">
        <f t="shared" si="15"/>
        <v>132</v>
      </c>
      <c r="E181" s="24">
        <f t="shared" si="16"/>
        <v>4016.5</v>
      </c>
      <c r="F181" s="25">
        <f t="shared" si="17"/>
        <v>12056.982955201234</v>
      </c>
      <c r="G181" s="19"/>
      <c r="H181" s="20">
        <f t="shared" si="12"/>
        <v>2808.0912605551403</v>
      </c>
      <c r="I181" s="20">
        <f t="shared" si="13"/>
        <v>246.90873944485975</v>
      </c>
    </row>
    <row r="182" spans="1:9" ht="15" customHeight="1" x14ac:dyDescent="0.3">
      <c r="A182" s="17">
        <v>180</v>
      </c>
      <c r="B182" s="17">
        <v>2282</v>
      </c>
      <c r="C182" s="23">
        <f t="shared" si="14"/>
        <v>2928.5</v>
      </c>
      <c r="D182" s="23">
        <f t="shared" si="15"/>
        <v>-646.5</v>
      </c>
      <c r="E182" s="23">
        <f t="shared" si="16"/>
        <v>3238</v>
      </c>
      <c r="F182" s="26">
        <f t="shared" si="17"/>
        <v>9937.7542611996905</v>
      </c>
      <c r="G182" s="19"/>
      <c r="H182" s="23">
        <f t="shared" si="12"/>
        <v>2857.4730084441121</v>
      </c>
      <c r="I182" s="23">
        <f t="shared" si="13"/>
        <v>-575.47300844411211</v>
      </c>
    </row>
    <row r="183" spans="1:9" ht="15" customHeight="1" x14ac:dyDescent="0.3">
      <c r="A183" s="17">
        <v>181</v>
      </c>
      <c r="B183" s="17">
        <v>2714</v>
      </c>
      <c r="C183" s="24">
        <f t="shared" si="14"/>
        <v>2759.75</v>
      </c>
      <c r="D183" s="24">
        <f t="shared" si="15"/>
        <v>-45.75</v>
      </c>
      <c r="E183" s="24">
        <f t="shared" si="16"/>
        <v>3838.75</v>
      </c>
      <c r="F183" s="25">
        <f t="shared" si="17"/>
        <v>12056.982955201234</v>
      </c>
      <c r="G183" s="19"/>
      <c r="H183" s="20">
        <f t="shared" si="12"/>
        <v>2742.3784067552897</v>
      </c>
      <c r="I183" s="20">
        <f t="shared" si="13"/>
        <v>-28.378406755289689</v>
      </c>
    </row>
    <row r="184" spans="1:9" ht="15" customHeight="1" x14ac:dyDescent="0.3">
      <c r="A184" s="17">
        <v>182</v>
      </c>
      <c r="B184" s="17">
        <v>2250</v>
      </c>
      <c r="C184" s="23">
        <f t="shared" si="14"/>
        <v>2639.5</v>
      </c>
      <c r="D184" s="23">
        <f t="shared" si="15"/>
        <v>-389.5</v>
      </c>
      <c r="E184" s="23">
        <f t="shared" si="16"/>
        <v>3495</v>
      </c>
      <c r="F184" s="26">
        <f t="shared" si="17"/>
        <v>10965.754261199691</v>
      </c>
      <c r="G184" s="19"/>
      <c r="H184" s="23">
        <f t="shared" si="12"/>
        <v>2736.7027254042318</v>
      </c>
      <c r="I184" s="23">
        <f t="shared" si="13"/>
        <v>-486.70272540423184</v>
      </c>
    </row>
    <row r="185" spans="1:9" ht="15" customHeight="1" x14ac:dyDescent="0.3">
      <c r="A185" s="17">
        <v>183</v>
      </c>
      <c r="B185" s="17">
        <v>2797</v>
      </c>
      <c r="C185" s="24">
        <f t="shared" si="14"/>
        <v>2575.25</v>
      </c>
      <c r="D185" s="24">
        <f t="shared" si="15"/>
        <v>221.75</v>
      </c>
      <c r="E185" s="24">
        <f t="shared" si="16"/>
        <v>4106.25</v>
      </c>
      <c r="F185" s="25">
        <f t="shared" si="17"/>
        <v>12056.982955201234</v>
      </c>
      <c r="G185" s="19"/>
      <c r="H185" s="20">
        <f t="shared" si="12"/>
        <v>2639.3621803233855</v>
      </c>
      <c r="I185" s="20">
        <f t="shared" si="13"/>
        <v>157.63781967661453</v>
      </c>
    </row>
    <row r="186" spans="1:9" ht="15" customHeight="1" x14ac:dyDescent="0.3">
      <c r="A186" s="17">
        <v>184</v>
      </c>
      <c r="B186" s="17">
        <v>2969</v>
      </c>
      <c r="C186" s="23">
        <f t="shared" si="14"/>
        <v>2510.75</v>
      </c>
      <c r="D186" s="23">
        <f t="shared" si="15"/>
        <v>458.25</v>
      </c>
      <c r="E186" s="23">
        <f t="shared" si="16"/>
        <v>4342.75</v>
      </c>
      <c r="F186" s="26">
        <f t="shared" si="17"/>
        <v>12056.982955201234</v>
      </c>
      <c r="G186" s="19"/>
      <c r="H186" s="23">
        <f t="shared" si="12"/>
        <v>2670.8897442587086</v>
      </c>
      <c r="I186" s="23">
        <f t="shared" si="13"/>
        <v>298.11025574129144</v>
      </c>
    </row>
    <row r="187" spans="1:9" ht="15" customHeight="1" x14ac:dyDescent="0.3">
      <c r="A187" s="17">
        <v>185</v>
      </c>
      <c r="B187" s="17">
        <v>2927</v>
      </c>
      <c r="C187" s="24">
        <f t="shared" si="14"/>
        <v>2682.5</v>
      </c>
      <c r="D187" s="24">
        <f t="shared" si="15"/>
        <v>244.5</v>
      </c>
      <c r="E187" s="24">
        <f t="shared" si="16"/>
        <v>4129</v>
      </c>
      <c r="F187" s="25">
        <f t="shared" si="17"/>
        <v>12056.982955201234</v>
      </c>
      <c r="G187" s="19"/>
      <c r="H187" s="20">
        <f t="shared" si="12"/>
        <v>2730.5117954069669</v>
      </c>
      <c r="I187" s="20">
        <f t="shared" si="13"/>
        <v>196.48820459303306</v>
      </c>
    </row>
    <row r="188" spans="1:9" ht="15" customHeight="1" x14ac:dyDescent="0.3">
      <c r="A188" s="17">
        <v>186</v>
      </c>
      <c r="B188" s="17">
        <v>2420</v>
      </c>
      <c r="C188" s="23">
        <f t="shared" si="14"/>
        <v>2735.75</v>
      </c>
      <c r="D188" s="23">
        <f t="shared" si="15"/>
        <v>-315.75</v>
      </c>
      <c r="E188" s="23">
        <f t="shared" si="16"/>
        <v>3568.75</v>
      </c>
      <c r="F188" s="26">
        <f t="shared" si="17"/>
        <v>11260.754261199691</v>
      </c>
      <c r="G188" s="19"/>
      <c r="H188" s="23">
        <f t="shared" si="12"/>
        <v>2769.8094363255736</v>
      </c>
      <c r="I188" s="23">
        <f t="shared" si="13"/>
        <v>-349.80943632557364</v>
      </c>
    </row>
    <row r="189" spans="1:9" ht="15" customHeight="1" x14ac:dyDescent="0.3">
      <c r="A189" s="17">
        <v>187</v>
      </c>
      <c r="B189" s="17">
        <v>2990</v>
      </c>
      <c r="C189" s="24">
        <f t="shared" si="14"/>
        <v>2778.25</v>
      </c>
      <c r="D189" s="24">
        <f t="shared" si="15"/>
        <v>211.75</v>
      </c>
      <c r="E189" s="24">
        <f t="shared" si="16"/>
        <v>4096.25</v>
      </c>
      <c r="F189" s="25">
        <f t="shared" si="17"/>
        <v>12056.982955201234</v>
      </c>
      <c r="G189" s="19"/>
      <c r="H189" s="20">
        <f t="shared" si="12"/>
        <v>2699.8475490604592</v>
      </c>
      <c r="I189" s="20">
        <f t="shared" si="13"/>
        <v>290.15245093954081</v>
      </c>
    </row>
    <row r="190" spans="1:9" ht="15" customHeight="1" x14ac:dyDescent="0.3">
      <c r="A190" s="17">
        <v>188</v>
      </c>
      <c r="B190" s="17">
        <v>3203</v>
      </c>
      <c r="C190" s="23">
        <f t="shared" si="14"/>
        <v>2826.5</v>
      </c>
      <c r="D190" s="23">
        <f t="shared" si="15"/>
        <v>376.5</v>
      </c>
      <c r="E190" s="23">
        <f t="shared" si="16"/>
        <v>4261</v>
      </c>
      <c r="F190" s="26">
        <f t="shared" si="17"/>
        <v>12056.982955201234</v>
      </c>
      <c r="G190" s="19"/>
      <c r="H190" s="23">
        <f t="shared" si="12"/>
        <v>2757.8780392483673</v>
      </c>
      <c r="I190" s="23">
        <f t="shared" si="13"/>
        <v>445.12196075163274</v>
      </c>
    </row>
    <row r="191" spans="1:9" ht="15" customHeight="1" x14ac:dyDescent="0.3">
      <c r="A191" s="17">
        <v>189</v>
      </c>
      <c r="B191" s="17">
        <v>2720</v>
      </c>
      <c r="C191" s="24">
        <f t="shared" si="14"/>
        <v>2885</v>
      </c>
      <c r="D191" s="24">
        <f t="shared" si="15"/>
        <v>-165</v>
      </c>
      <c r="E191" s="24">
        <f t="shared" si="16"/>
        <v>3719.5</v>
      </c>
      <c r="F191" s="25">
        <f t="shared" si="17"/>
        <v>11863.754261199691</v>
      </c>
      <c r="G191" s="19"/>
      <c r="H191" s="20">
        <f t="shared" si="12"/>
        <v>2846.9024313986938</v>
      </c>
      <c r="I191" s="20">
        <f t="shared" si="13"/>
        <v>-126.90243139869381</v>
      </c>
    </row>
    <row r="192" spans="1:9" ht="15" customHeight="1" x14ac:dyDescent="0.3">
      <c r="A192" s="17">
        <v>190</v>
      </c>
      <c r="B192" s="17">
        <v>2267</v>
      </c>
      <c r="C192" s="23">
        <f t="shared" si="14"/>
        <v>2833.25</v>
      </c>
      <c r="D192" s="23">
        <f t="shared" si="15"/>
        <v>-566.25</v>
      </c>
      <c r="E192" s="23">
        <f t="shared" si="16"/>
        <v>3318.25</v>
      </c>
      <c r="F192" s="26">
        <f t="shared" si="17"/>
        <v>10258.754261199691</v>
      </c>
      <c r="G192" s="19"/>
      <c r="H192" s="23">
        <f t="shared" si="12"/>
        <v>2821.521945118955</v>
      </c>
      <c r="I192" s="23">
        <f t="shared" si="13"/>
        <v>-554.52194511895505</v>
      </c>
    </row>
    <row r="193" spans="1:9" ht="15" customHeight="1" x14ac:dyDescent="0.3">
      <c r="A193" s="17">
        <v>191</v>
      </c>
      <c r="B193" s="17">
        <v>2700</v>
      </c>
      <c r="C193" s="24">
        <f t="shared" si="14"/>
        <v>2795</v>
      </c>
      <c r="D193" s="24">
        <f t="shared" si="15"/>
        <v>-95</v>
      </c>
      <c r="E193" s="24">
        <f t="shared" si="16"/>
        <v>3789.5</v>
      </c>
      <c r="F193" s="25">
        <f t="shared" si="17"/>
        <v>12056.982955201234</v>
      </c>
      <c r="G193" s="19"/>
      <c r="H193" s="20">
        <f t="shared" si="12"/>
        <v>2710.6175560951642</v>
      </c>
      <c r="I193" s="20">
        <f t="shared" si="13"/>
        <v>-10.617556095164218</v>
      </c>
    </row>
    <row r="194" spans="1:9" ht="15" customHeight="1" x14ac:dyDescent="0.3">
      <c r="A194" s="17">
        <v>192</v>
      </c>
      <c r="B194" s="17">
        <v>3010</v>
      </c>
      <c r="C194" s="23">
        <f t="shared" si="14"/>
        <v>2722.5</v>
      </c>
      <c r="D194" s="23">
        <f t="shared" si="15"/>
        <v>287.5</v>
      </c>
      <c r="E194" s="23">
        <f t="shared" si="16"/>
        <v>4172</v>
      </c>
      <c r="F194" s="26">
        <f t="shared" si="17"/>
        <v>12056.982955201234</v>
      </c>
      <c r="G194" s="19"/>
      <c r="H194" s="23">
        <f t="shared" si="12"/>
        <v>2708.4940448761313</v>
      </c>
      <c r="I194" s="23">
        <f t="shared" si="13"/>
        <v>301.50595512386872</v>
      </c>
    </row>
    <row r="195" spans="1:9" ht="15" customHeight="1" x14ac:dyDescent="0.3">
      <c r="A195" s="17">
        <v>193</v>
      </c>
      <c r="B195" s="17">
        <v>3072</v>
      </c>
      <c r="C195" s="24">
        <f t="shared" si="14"/>
        <v>2674.25</v>
      </c>
      <c r="D195" s="24">
        <f t="shared" si="15"/>
        <v>397.75</v>
      </c>
      <c r="E195" s="24">
        <f t="shared" si="16"/>
        <v>4282.25</v>
      </c>
      <c r="F195" s="25">
        <f t="shared" si="17"/>
        <v>12056.982955201234</v>
      </c>
      <c r="G195" s="19"/>
      <c r="H195" s="20">
        <f t="shared" si="12"/>
        <v>2768.795235900905</v>
      </c>
      <c r="I195" s="20">
        <f t="shared" si="13"/>
        <v>303.20476409909497</v>
      </c>
    </row>
    <row r="196" spans="1:9" ht="15" customHeight="1" x14ac:dyDescent="0.3">
      <c r="A196" s="17">
        <v>194</v>
      </c>
      <c r="B196" s="17">
        <v>2917</v>
      </c>
      <c r="C196" s="23">
        <f t="shared" si="14"/>
        <v>2762.25</v>
      </c>
      <c r="D196" s="23">
        <f t="shared" si="15"/>
        <v>154.75</v>
      </c>
      <c r="E196" s="23">
        <f t="shared" si="16"/>
        <v>4039.25</v>
      </c>
      <c r="F196" s="26">
        <f t="shared" si="17"/>
        <v>12056.982955201234</v>
      </c>
      <c r="G196" s="19"/>
      <c r="H196" s="23">
        <f t="shared" ref="H196:H259" si="18">0.2*B195+0.8*H195</f>
        <v>2829.4361887207242</v>
      </c>
      <c r="I196" s="23">
        <f t="shared" ref="I196:I259" si="19">B196-H196</f>
        <v>87.563811279275797</v>
      </c>
    </row>
    <row r="197" spans="1:9" ht="15" customHeight="1" x14ac:dyDescent="0.3">
      <c r="A197" s="17">
        <v>195</v>
      </c>
      <c r="B197" s="17">
        <v>2314</v>
      </c>
      <c r="C197" s="24">
        <f t="shared" si="14"/>
        <v>2924.75</v>
      </c>
      <c r="D197" s="24">
        <f t="shared" si="15"/>
        <v>-610.75</v>
      </c>
      <c r="E197" s="24">
        <f t="shared" si="16"/>
        <v>3273.75</v>
      </c>
      <c r="F197" s="25">
        <f t="shared" si="17"/>
        <v>10080.754261199691</v>
      </c>
      <c r="G197" s="19"/>
      <c r="H197" s="20">
        <f t="shared" si="18"/>
        <v>2846.9489509765795</v>
      </c>
      <c r="I197" s="20">
        <f t="shared" si="19"/>
        <v>-532.94895097657945</v>
      </c>
    </row>
    <row r="198" spans="1:9" ht="15" customHeight="1" x14ac:dyDescent="0.3">
      <c r="A198" s="17">
        <v>196</v>
      </c>
      <c r="B198" s="17">
        <v>2390</v>
      </c>
      <c r="C198" s="23">
        <f t="shared" si="14"/>
        <v>2828.25</v>
      </c>
      <c r="D198" s="23">
        <f t="shared" si="15"/>
        <v>-438.25</v>
      </c>
      <c r="E198" s="23">
        <f t="shared" si="16"/>
        <v>3446.25</v>
      </c>
      <c r="F198" s="26">
        <f t="shared" si="17"/>
        <v>10770.754261199691</v>
      </c>
      <c r="G198" s="19"/>
      <c r="H198" s="23">
        <f t="shared" si="18"/>
        <v>2740.3591607812637</v>
      </c>
      <c r="I198" s="23">
        <f t="shared" si="19"/>
        <v>-350.35916078126365</v>
      </c>
    </row>
    <row r="199" spans="1:9" ht="15" customHeight="1" x14ac:dyDescent="0.3">
      <c r="A199" s="17">
        <v>197</v>
      </c>
      <c r="B199" s="17">
        <v>3217</v>
      </c>
      <c r="C199" s="24">
        <f t="shared" ref="C199:C262" si="20">AVERAGE(B195:B198)</f>
        <v>2673.25</v>
      </c>
      <c r="D199" s="24">
        <f t="shared" ref="D199:D262" si="21">B199-C199</f>
        <v>543.75</v>
      </c>
      <c r="E199" s="24">
        <f t="shared" ref="E199:E262" si="22">$C$502+D199</f>
        <v>4428.25</v>
      </c>
      <c r="F199" s="25">
        <f t="shared" ref="F199:F262" si="23">4*MIN(E199,$E$509)-0.8*$E$509</f>
        <v>12056.982955201234</v>
      </c>
      <c r="G199" s="19"/>
      <c r="H199" s="20">
        <f t="shared" si="18"/>
        <v>2670.287328625011</v>
      </c>
      <c r="I199" s="20">
        <f t="shared" si="19"/>
        <v>546.71267137498899</v>
      </c>
    </row>
    <row r="200" spans="1:9" ht="15" customHeight="1" x14ac:dyDescent="0.3">
      <c r="A200" s="17">
        <v>198</v>
      </c>
      <c r="B200" s="17">
        <v>3030</v>
      </c>
      <c r="C200" s="23">
        <f t="shared" si="20"/>
        <v>2709.5</v>
      </c>
      <c r="D200" s="23">
        <f t="shared" si="21"/>
        <v>320.5</v>
      </c>
      <c r="E200" s="23">
        <f t="shared" si="22"/>
        <v>4205</v>
      </c>
      <c r="F200" s="26">
        <f t="shared" si="23"/>
        <v>12056.982955201234</v>
      </c>
      <c r="G200" s="19"/>
      <c r="H200" s="23">
        <f t="shared" si="18"/>
        <v>2779.6298629000089</v>
      </c>
      <c r="I200" s="23">
        <f t="shared" si="19"/>
        <v>250.3701370999911</v>
      </c>
    </row>
    <row r="201" spans="1:9" ht="15" customHeight="1" x14ac:dyDescent="0.3">
      <c r="A201" s="17">
        <v>199</v>
      </c>
      <c r="B201" s="17">
        <v>3185</v>
      </c>
      <c r="C201" s="24">
        <f t="shared" si="20"/>
        <v>2737.75</v>
      </c>
      <c r="D201" s="24">
        <f t="shared" si="21"/>
        <v>447.25</v>
      </c>
      <c r="E201" s="24">
        <f t="shared" si="22"/>
        <v>4331.75</v>
      </c>
      <c r="F201" s="25">
        <f t="shared" si="23"/>
        <v>12056.982955201234</v>
      </c>
      <c r="G201" s="19"/>
      <c r="H201" s="20">
        <f t="shared" si="18"/>
        <v>2829.7038903200073</v>
      </c>
      <c r="I201" s="20">
        <f t="shared" si="19"/>
        <v>355.2961096799927</v>
      </c>
    </row>
    <row r="202" spans="1:9" ht="15" customHeight="1" x14ac:dyDescent="0.3">
      <c r="A202" s="17">
        <v>200</v>
      </c>
      <c r="B202" s="17">
        <v>2762</v>
      </c>
      <c r="C202" s="23">
        <f t="shared" si="20"/>
        <v>2955.5</v>
      </c>
      <c r="D202" s="23">
        <f t="shared" si="21"/>
        <v>-193.5</v>
      </c>
      <c r="E202" s="23">
        <f t="shared" si="22"/>
        <v>3691</v>
      </c>
      <c r="F202" s="26">
        <f t="shared" si="23"/>
        <v>11749.754261199691</v>
      </c>
      <c r="G202" s="19"/>
      <c r="H202" s="23">
        <f t="shared" si="18"/>
        <v>2900.763112256006</v>
      </c>
      <c r="I202" s="23">
        <f t="shared" si="19"/>
        <v>-138.76311225600602</v>
      </c>
    </row>
    <row r="203" spans="1:9" ht="15" customHeight="1" x14ac:dyDescent="0.3">
      <c r="A203" s="17">
        <v>201</v>
      </c>
      <c r="B203" s="17">
        <v>2510</v>
      </c>
      <c r="C203" s="24">
        <f t="shared" si="20"/>
        <v>3048.5</v>
      </c>
      <c r="D203" s="24">
        <f t="shared" si="21"/>
        <v>-538.5</v>
      </c>
      <c r="E203" s="24">
        <f t="shared" si="22"/>
        <v>3346</v>
      </c>
      <c r="F203" s="25">
        <f t="shared" si="23"/>
        <v>10369.754261199691</v>
      </c>
      <c r="G203" s="19"/>
      <c r="H203" s="20">
        <f t="shared" si="18"/>
        <v>2873.0104898048048</v>
      </c>
      <c r="I203" s="20">
        <f t="shared" si="19"/>
        <v>-363.01048980480482</v>
      </c>
    </row>
    <row r="204" spans="1:9" ht="15" customHeight="1" x14ac:dyDescent="0.3">
      <c r="A204" s="17">
        <v>202</v>
      </c>
      <c r="B204" s="17">
        <v>3137</v>
      </c>
      <c r="C204" s="23">
        <f t="shared" si="20"/>
        <v>2871.75</v>
      </c>
      <c r="D204" s="23">
        <f t="shared" si="21"/>
        <v>265.25</v>
      </c>
      <c r="E204" s="23">
        <f t="shared" si="22"/>
        <v>4149.75</v>
      </c>
      <c r="F204" s="26">
        <f t="shared" si="23"/>
        <v>12056.982955201234</v>
      </c>
      <c r="G204" s="19"/>
      <c r="H204" s="23">
        <f t="shared" si="18"/>
        <v>2800.4083918438441</v>
      </c>
      <c r="I204" s="23">
        <f t="shared" si="19"/>
        <v>336.59160815615587</v>
      </c>
    </row>
    <row r="205" spans="1:9" ht="15" customHeight="1" x14ac:dyDescent="0.3">
      <c r="A205" s="17">
        <v>203</v>
      </c>
      <c r="B205" s="17">
        <v>2437</v>
      </c>
      <c r="C205" s="24">
        <f t="shared" si="20"/>
        <v>2898.5</v>
      </c>
      <c r="D205" s="24">
        <f t="shared" si="21"/>
        <v>-461.5</v>
      </c>
      <c r="E205" s="24">
        <f t="shared" si="22"/>
        <v>3423</v>
      </c>
      <c r="F205" s="25">
        <f t="shared" si="23"/>
        <v>10677.754261199691</v>
      </c>
      <c r="G205" s="19"/>
      <c r="H205" s="20">
        <f t="shared" si="18"/>
        <v>2867.7267134750755</v>
      </c>
      <c r="I205" s="20">
        <f t="shared" si="19"/>
        <v>-430.72671347507548</v>
      </c>
    </row>
    <row r="206" spans="1:9" ht="15" customHeight="1" x14ac:dyDescent="0.3">
      <c r="A206" s="17">
        <v>204</v>
      </c>
      <c r="B206" s="17">
        <v>3239</v>
      </c>
      <c r="C206" s="23">
        <f t="shared" si="20"/>
        <v>2711.5</v>
      </c>
      <c r="D206" s="23">
        <f t="shared" si="21"/>
        <v>527.5</v>
      </c>
      <c r="E206" s="23">
        <f t="shared" si="22"/>
        <v>4412</v>
      </c>
      <c r="F206" s="26">
        <f t="shared" si="23"/>
        <v>12056.982955201234</v>
      </c>
      <c r="G206" s="19"/>
      <c r="H206" s="23">
        <f t="shared" si="18"/>
        <v>2781.5813707800608</v>
      </c>
      <c r="I206" s="23">
        <f t="shared" si="19"/>
        <v>457.41862921993925</v>
      </c>
    </row>
    <row r="207" spans="1:9" ht="15" customHeight="1" x14ac:dyDescent="0.3">
      <c r="A207" s="17">
        <v>205</v>
      </c>
      <c r="B207" s="17">
        <v>3126</v>
      </c>
      <c r="C207" s="24">
        <f t="shared" si="20"/>
        <v>2830.75</v>
      </c>
      <c r="D207" s="24">
        <f t="shared" si="21"/>
        <v>295.25</v>
      </c>
      <c r="E207" s="24">
        <f t="shared" si="22"/>
        <v>4179.75</v>
      </c>
      <c r="F207" s="25">
        <f t="shared" si="23"/>
        <v>12056.982955201234</v>
      </c>
      <c r="G207" s="19"/>
      <c r="H207" s="20">
        <f t="shared" si="18"/>
        <v>2873.0650966240487</v>
      </c>
      <c r="I207" s="20">
        <f t="shared" si="19"/>
        <v>252.93490337595131</v>
      </c>
    </row>
    <row r="208" spans="1:9" ht="15" customHeight="1" x14ac:dyDescent="0.3">
      <c r="A208" s="17">
        <v>206</v>
      </c>
      <c r="B208" s="17">
        <v>2674</v>
      </c>
      <c r="C208" s="23">
        <f t="shared" si="20"/>
        <v>2984.75</v>
      </c>
      <c r="D208" s="23">
        <f t="shared" si="21"/>
        <v>-310.75</v>
      </c>
      <c r="E208" s="23">
        <f t="shared" si="22"/>
        <v>3573.75</v>
      </c>
      <c r="F208" s="26">
        <f t="shared" si="23"/>
        <v>11280.754261199691</v>
      </c>
      <c r="G208" s="19"/>
      <c r="H208" s="23">
        <f t="shared" si="18"/>
        <v>2923.652077299239</v>
      </c>
      <c r="I208" s="23">
        <f t="shared" si="19"/>
        <v>-249.65207729923895</v>
      </c>
    </row>
    <row r="209" spans="1:9" ht="15" customHeight="1" x14ac:dyDescent="0.3">
      <c r="A209" s="17">
        <v>207</v>
      </c>
      <c r="B209" s="17">
        <v>2630</v>
      </c>
      <c r="C209" s="24">
        <f t="shared" si="20"/>
        <v>2869</v>
      </c>
      <c r="D209" s="24">
        <f t="shared" si="21"/>
        <v>-239</v>
      </c>
      <c r="E209" s="24">
        <f t="shared" si="22"/>
        <v>3645.5</v>
      </c>
      <c r="F209" s="25">
        <f t="shared" si="23"/>
        <v>11567.754261199691</v>
      </c>
      <c r="G209" s="19"/>
      <c r="H209" s="20">
        <f t="shared" si="18"/>
        <v>2873.7216618393913</v>
      </c>
      <c r="I209" s="20">
        <f t="shared" si="19"/>
        <v>-243.72166183939134</v>
      </c>
    </row>
    <row r="210" spans="1:9" ht="15" customHeight="1" x14ac:dyDescent="0.3">
      <c r="A210" s="17">
        <v>208</v>
      </c>
      <c r="B210" s="17">
        <v>2966</v>
      </c>
      <c r="C210" s="23">
        <f t="shared" si="20"/>
        <v>2917.25</v>
      </c>
      <c r="D210" s="23">
        <f t="shared" si="21"/>
        <v>48.75</v>
      </c>
      <c r="E210" s="23">
        <f t="shared" si="22"/>
        <v>3933.25</v>
      </c>
      <c r="F210" s="26">
        <f t="shared" si="23"/>
        <v>12056.982955201234</v>
      </c>
      <c r="G210" s="19"/>
      <c r="H210" s="23">
        <f t="shared" si="18"/>
        <v>2824.9773294715133</v>
      </c>
      <c r="I210" s="23">
        <f t="shared" si="19"/>
        <v>141.02267052848674</v>
      </c>
    </row>
    <row r="211" spans="1:9" ht="15" customHeight="1" x14ac:dyDescent="0.3">
      <c r="A211" s="17">
        <v>209</v>
      </c>
      <c r="B211" s="17">
        <v>2675</v>
      </c>
      <c r="C211" s="24">
        <f t="shared" si="20"/>
        <v>2849</v>
      </c>
      <c r="D211" s="24">
        <f t="shared" si="21"/>
        <v>-174</v>
      </c>
      <c r="E211" s="24">
        <f t="shared" si="22"/>
        <v>3710.5</v>
      </c>
      <c r="F211" s="25">
        <f t="shared" si="23"/>
        <v>11827.754261199691</v>
      </c>
      <c r="G211" s="19"/>
      <c r="H211" s="20">
        <f t="shared" si="18"/>
        <v>2853.1818635772106</v>
      </c>
      <c r="I211" s="20">
        <f t="shared" si="19"/>
        <v>-178.18186357721061</v>
      </c>
    </row>
    <row r="212" spans="1:9" ht="15" customHeight="1" x14ac:dyDescent="0.3">
      <c r="A212" s="17">
        <v>210</v>
      </c>
      <c r="B212" s="17">
        <v>3149</v>
      </c>
      <c r="C212" s="23">
        <f t="shared" si="20"/>
        <v>2736.25</v>
      </c>
      <c r="D212" s="23">
        <f t="shared" si="21"/>
        <v>412.75</v>
      </c>
      <c r="E212" s="23">
        <f t="shared" si="22"/>
        <v>4297.25</v>
      </c>
      <c r="F212" s="26">
        <f t="shared" si="23"/>
        <v>12056.982955201234</v>
      </c>
      <c r="G212" s="19"/>
      <c r="H212" s="23">
        <f t="shared" si="18"/>
        <v>2817.5454908617685</v>
      </c>
      <c r="I212" s="23">
        <f t="shared" si="19"/>
        <v>331.45450913823151</v>
      </c>
    </row>
    <row r="213" spans="1:9" ht="15" customHeight="1" x14ac:dyDescent="0.3">
      <c r="A213" s="17">
        <v>211</v>
      </c>
      <c r="B213" s="17">
        <v>2362</v>
      </c>
      <c r="C213" s="24">
        <f t="shared" si="20"/>
        <v>2855</v>
      </c>
      <c r="D213" s="24">
        <f t="shared" si="21"/>
        <v>-493</v>
      </c>
      <c r="E213" s="24">
        <f t="shared" si="22"/>
        <v>3391.5</v>
      </c>
      <c r="F213" s="25">
        <f t="shared" si="23"/>
        <v>10551.754261199691</v>
      </c>
      <c r="G213" s="19"/>
      <c r="H213" s="20">
        <f t="shared" si="18"/>
        <v>2883.8363926894149</v>
      </c>
      <c r="I213" s="20">
        <f t="shared" si="19"/>
        <v>-521.83639268941488</v>
      </c>
    </row>
    <row r="214" spans="1:9" ht="15" customHeight="1" x14ac:dyDescent="0.3">
      <c r="A214" s="17">
        <v>212</v>
      </c>
      <c r="B214" s="17">
        <v>2624</v>
      </c>
      <c r="C214" s="23">
        <f t="shared" si="20"/>
        <v>2788</v>
      </c>
      <c r="D214" s="23">
        <f t="shared" si="21"/>
        <v>-164</v>
      </c>
      <c r="E214" s="23">
        <f t="shared" si="22"/>
        <v>3720.5</v>
      </c>
      <c r="F214" s="26">
        <f t="shared" si="23"/>
        <v>11867.754261199691</v>
      </c>
      <c r="G214" s="19"/>
      <c r="H214" s="23">
        <f t="shared" si="18"/>
        <v>2779.4691141515323</v>
      </c>
      <c r="I214" s="23">
        <f t="shared" si="19"/>
        <v>-155.46911415153227</v>
      </c>
    </row>
    <row r="215" spans="1:9" ht="15" customHeight="1" x14ac:dyDescent="0.3">
      <c r="A215" s="17">
        <v>213</v>
      </c>
      <c r="B215" s="17">
        <v>2384</v>
      </c>
      <c r="C215" s="24">
        <f t="shared" si="20"/>
        <v>2702.5</v>
      </c>
      <c r="D215" s="24">
        <f t="shared" si="21"/>
        <v>-318.5</v>
      </c>
      <c r="E215" s="24">
        <f t="shared" si="22"/>
        <v>3566</v>
      </c>
      <c r="F215" s="25">
        <f t="shared" si="23"/>
        <v>11249.754261199691</v>
      </c>
      <c r="G215" s="19"/>
      <c r="H215" s="20">
        <f t="shared" si="18"/>
        <v>2748.3752913212261</v>
      </c>
      <c r="I215" s="20">
        <f t="shared" si="19"/>
        <v>-364.37529132122609</v>
      </c>
    </row>
    <row r="216" spans="1:9" ht="15" customHeight="1" x14ac:dyDescent="0.3">
      <c r="A216" s="17">
        <v>214</v>
      </c>
      <c r="B216" s="17">
        <v>3201</v>
      </c>
      <c r="C216" s="23">
        <f t="shared" si="20"/>
        <v>2629.75</v>
      </c>
      <c r="D216" s="23">
        <f t="shared" si="21"/>
        <v>571.25</v>
      </c>
      <c r="E216" s="23">
        <f t="shared" si="22"/>
        <v>4455.75</v>
      </c>
      <c r="F216" s="26">
        <f t="shared" si="23"/>
        <v>12056.982955201234</v>
      </c>
      <c r="G216" s="19"/>
      <c r="H216" s="23">
        <f t="shared" si="18"/>
        <v>2675.500233056981</v>
      </c>
      <c r="I216" s="23">
        <f t="shared" si="19"/>
        <v>525.49976694301904</v>
      </c>
    </row>
    <row r="217" spans="1:9" ht="15" customHeight="1" x14ac:dyDescent="0.3">
      <c r="A217" s="17">
        <v>215</v>
      </c>
      <c r="B217" s="17">
        <v>2522</v>
      </c>
      <c r="C217" s="24">
        <f t="shared" si="20"/>
        <v>2642.75</v>
      </c>
      <c r="D217" s="24">
        <f t="shared" si="21"/>
        <v>-120.75</v>
      </c>
      <c r="E217" s="24">
        <f t="shared" si="22"/>
        <v>3763.75</v>
      </c>
      <c r="F217" s="25">
        <f t="shared" si="23"/>
        <v>12040.754261199691</v>
      </c>
      <c r="G217" s="19"/>
      <c r="H217" s="20">
        <f t="shared" si="18"/>
        <v>2780.6001864455848</v>
      </c>
      <c r="I217" s="20">
        <f t="shared" si="19"/>
        <v>-258.60018644558477</v>
      </c>
    </row>
    <row r="218" spans="1:9" ht="15" customHeight="1" x14ac:dyDescent="0.3">
      <c r="A218" s="17">
        <v>216</v>
      </c>
      <c r="B218" s="17">
        <v>2435</v>
      </c>
      <c r="C218" s="23">
        <f t="shared" si="20"/>
        <v>2682.75</v>
      </c>
      <c r="D218" s="23">
        <f t="shared" si="21"/>
        <v>-247.75</v>
      </c>
      <c r="E218" s="23">
        <f t="shared" si="22"/>
        <v>3636.75</v>
      </c>
      <c r="F218" s="26">
        <f t="shared" si="23"/>
        <v>11532.754261199691</v>
      </c>
      <c r="G218" s="19"/>
      <c r="H218" s="23">
        <f t="shared" si="18"/>
        <v>2728.8801491564682</v>
      </c>
      <c r="I218" s="23">
        <f t="shared" si="19"/>
        <v>-293.88014915646818</v>
      </c>
    </row>
    <row r="219" spans="1:9" ht="15" customHeight="1" x14ac:dyDescent="0.3">
      <c r="A219" s="17">
        <v>217</v>
      </c>
      <c r="B219" s="17">
        <v>3241</v>
      </c>
      <c r="C219" s="24">
        <f t="shared" si="20"/>
        <v>2635.5</v>
      </c>
      <c r="D219" s="24">
        <f t="shared" si="21"/>
        <v>605.5</v>
      </c>
      <c r="E219" s="24">
        <f t="shared" si="22"/>
        <v>4490</v>
      </c>
      <c r="F219" s="25">
        <f t="shared" si="23"/>
        <v>12056.982955201234</v>
      </c>
      <c r="G219" s="19"/>
      <c r="H219" s="20">
        <f t="shared" si="18"/>
        <v>2670.1041193251745</v>
      </c>
      <c r="I219" s="20">
        <f t="shared" si="19"/>
        <v>570.89588067482555</v>
      </c>
    </row>
    <row r="220" spans="1:9" ht="15" customHeight="1" x14ac:dyDescent="0.3">
      <c r="A220" s="17">
        <v>218</v>
      </c>
      <c r="B220" s="17">
        <v>2987</v>
      </c>
      <c r="C220" s="23">
        <f t="shared" si="20"/>
        <v>2849.75</v>
      </c>
      <c r="D220" s="23">
        <f t="shared" si="21"/>
        <v>137.25</v>
      </c>
      <c r="E220" s="23">
        <f t="shared" si="22"/>
        <v>4021.75</v>
      </c>
      <c r="F220" s="26">
        <f t="shared" si="23"/>
        <v>12056.982955201234</v>
      </c>
      <c r="G220" s="19"/>
      <c r="H220" s="23">
        <f t="shared" si="18"/>
        <v>2784.2832954601399</v>
      </c>
      <c r="I220" s="23">
        <f t="shared" si="19"/>
        <v>202.71670453986007</v>
      </c>
    </row>
    <row r="221" spans="1:9" ht="15" customHeight="1" x14ac:dyDescent="0.3">
      <c r="A221" s="17">
        <v>219</v>
      </c>
      <c r="B221" s="17">
        <v>3140</v>
      </c>
      <c r="C221" s="24">
        <f t="shared" si="20"/>
        <v>2796.25</v>
      </c>
      <c r="D221" s="24">
        <f t="shared" si="21"/>
        <v>343.75</v>
      </c>
      <c r="E221" s="24">
        <f t="shared" si="22"/>
        <v>4228.25</v>
      </c>
      <c r="F221" s="25">
        <f t="shared" si="23"/>
        <v>12056.982955201234</v>
      </c>
      <c r="G221" s="19"/>
      <c r="H221" s="20">
        <f t="shared" si="18"/>
        <v>2824.8266363681123</v>
      </c>
      <c r="I221" s="20">
        <f t="shared" si="19"/>
        <v>315.1733636318877</v>
      </c>
    </row>
    <row r="222" spans="1:9" ht="15" customHeight="1" x14ac:dyDescent="0.3">
      <c r="A222" s="17">
        <v>220</v>
      </c>
      <c r="B222" s="17">
        <v>3360</v>
      </c>
      <c r="C222" s="23">
        <f t="shared" si="20"/>
        <v>2950.75</v>
      </c>
      <c r="D222" s="23">
        <f t="shared" si="21"/>
        <v>409.25</v>
      </c>
      <c r="E222" s="23">
        <f t="shared" si="22"/>
        <v>4293.75</v>
      </c>
      <c r="F222" s="26">
        <f t="shared" si="23"/>
        <v>12056.982955201234</v>
      </c>
      <c r="G222" s="19"/>
      <c r="H222" s="23">
        <f t="shared" si="18"/>
        <v>2887.86130909449</v>
      </c>
      <c r="I222" s="23">
        <f t="shared" si="19"/>
        <v>472.13869090550997</v>
      </c>
    </row>
    <row r="223" spans="1:9" ht="15" customHeight="1" x14ac:dyDescent="0.3">
      <c r="A223" s="17">
        <v>221</v>
      </c>
      <c r="B223" s="17">
        <v>3351</v>
      </c>
      <c r="C223" s="24">
        <f t="shared" si="20"/>
        <v>3182</v>
      </c>
      <c r="D223" s="24">
        <f t="shared" si="21"/>
        <v>169</v>
      </c>
      <c r="E223" s="24">
        <f t="shared" si="22"/>
        <v>4053.5</v>
      </c>
      <c r="F223" s="25">
        <f t="shared" si="23"/>
        <v>12056.982955201234</v>
      </c>
      <c r="G223" s="19"/>
      <c r="H223" s="20">
        <f t="shared" si="18"/>
        <v>2982.2890472755921</v>
      </c>
      <c r="I223" s="20">
        <f t="shared" si="19"/>
        <v>368.71095272440789</v>
      </c>
    </row>
    <row r="224" spans="1:9" ht="15" customHeight="1" x14ac:dyDescent="0.3">
      <c r="A224" s="17">
        <v>222</v>
      </c>
      <c r="B224" s="17">
        <v>2503</v>
      </c>
      <c r="C224" s="23">
        <f t="shared" si="20"/>
        <v>3209.5</v>
      </c>
      <c r="D224" s="23">
        <f t="shared" si="21"/>
        <v>-706.5</v>
      </c>
      <c r="E224" s="23">
        <f t="shared" si="22"/>
        <v>3178</v>
      </c>
      <c r="F224" s="26">
        <f t="shared" si="23"/>
        <v>9697.7542611996905</v>
      </c>
      <c r="G224" s="19"/>
      <c r="H224" s="23">
        <f t="shared" si="18"/>
        <v>3056.0312378204735</v>
      </c>
      <c r="I224" s="23">
        <f t="shared" si="19"/>
        <v>-553.03123782047351</v>
      </c>
    </row>
    <row r="225" spans="1:9" ht="15" customHeight="1" x14ac:dyDescent="0.3">
      <c r="A225" s="17">
        <v>223</v>
      </c>
      <c r="B225" s="17">
        <v>2573</v>
      </c>
      <c r="C225" s="24">
        <f t="shared" si="20"/>
        <v>3088.5</v>
      </c>
      <c r="D225" s="24">
        <f t="shared" si="21"/>
        <v>-515.5</v>
      </c>
      <c r="E225" s="24">
        <f t="shared" si="22"/>
        <v>3369</v>
      </c>
      <c r="F225" s="25">
        <f t="shared" si="23"/>
        <v>10461.754261199691</v>
      </c>
      <c r="G225" s="19"/>
      <c r="H225" s="20">
        <f t="shared" si="18"/>
        <v>2945.4249902563788</v>
      </c>
      <c r="I225" s="20">
        <f t="shared" si="19"/>
        <v>-372.42499025637881</v>
      </c>
    </row>
    <row r="226" spans="1:9" ht="15" customHeight="1" x14ac:dyDescent="0.3">
      <c r="A226" s="17">
        <v>224</v>
      </c>
      <c r="B226" s="17">
        <v>2785</v>
      </c>
      <c r="C226" s="23">
        <f t="shared" si="20"/>
        <v>2946.75</v>
      </c>
      <c r="D226" s="23">
        <f t="shared" si="21"/>
        <v>-161.75</v>
      </c>
      <c r="E226" s="23">
        <f t="shared" si="22"/>
        <v>3722.75</v>
      </c>
      <c r="F226" s="26">
        <f t="shared" si="23"/>
        <v>11876.754261199691</v>
      </c>
      <c r="G226" s="19"/>
      <c r="H226" s="23">
        <f t="shared" si="18"/>
        <v>2870.939992205103</v>
      </c>
      <c r="I226" s="23">
        <f t="shared" si="19"/>
        <v>-85.939992205102953</v>
      </c>
    </row>
    <row r="227" spans="1:9" ht="15" customHeight="1" x14ac:dyDescent="0.3">
      <c r="A227" s="17">
        <v>225</v>
      </c>
      <c r="B227" s="17">
        <v>2520</v>
      </c>
      <c r="C227" s="24">
        <f t="shared" si="20"/>
        <v>2803</v>
      </c>
      <c r="D227" s="24">
        <f t="shared" si="21"/>
        <v>-283</v>
      </c>
      <c r="E227" s="24">
        <f t="shared" si="22"/>
        <v>3601.5</v>
      </c>
      <c r="F227" s="25">
        <f t="shared" si="23"/>
        <v>11391.754261199691</v>
      </c>
      <c r="G227" s="19"/>
      <c r="H227" s="20">
        <f t="shared" si="18"/>
        <v>2853.7519937640823</v>
      </c>
      <c r="I227" s="20">
        <f t="shared" si="19"/>
        <v>-333.75199376408227</v>
      </c>
    </row>
    <row r="228" spans="1:9" ht="15" customHeight="1" x14ac:dyDescent="0.3">
      <c r="A228" s="17">
        <v>226</v>
      </c>
      <c r="B228" s="17">
        <v>2412</v>
      </c>
      <c r="C228" s="23">
        <f t="shared" si="20"/>
        <v>2595.25</v>
      </c>
      <c r="D228" s="23">
        <f t="shared" si="21"/>
        <v>-183.25</v>
      </c>
      <c r="E228" s="23">
        <f t="shared" si="22"/>
        <v>3701.25</v>
      </c>
      <c r="F228" s="26">
        <f t="shared" si="23"/>
        <v>11790.754261199691</v>
      </c>
      <c r="G228" s="19"/>
      <c r="H228" s="23">
        <f t="shared" si="18"/>
        <v>2787.0015950112661</v>
      </c>
      <c r="I228" s="23">
        <f t="shared" si="19"/>
        <v>-375.00159501126609</v>
      </c>
    </row>
    <row r="229" spans="1:9" ht="15" customHeight="1" x14ac:dyDescent="0.3">
      <c r="A229" s="17">
        <v>227</v>
      </c>
      <c r="B229" s="17">
        <v>2933</v>
      </c>
      <c r="C229" s="24">
        <f t="shared" si="20"/>
        <v>2572.5</v>
      </c>
      <c r="D229" s="24">
        <f t="shared" si="21"/>
        <v>360.5</v>
      </c>
      <c r="E229" s="24">
        <f t="shared" si="22"/>
        <v>4245</v>
      </c>
      <c r="F229" s="25">
        <f t="shared" si="23"/>
        <v>12056.982955201234</v>
      </c>
      <c r="G229" s="19"/>
      <c r="H229" s="20">
        <f t="shared" si="18"/>
        <v>2712.0012760090131</v>
      </c>
      <c r="I229" s="20">
        <f t="shared" si="19"/>
        <v>220.99872399098695</v>
      </c>
    </row>
    <row r="230" spans="1:9" ht="15" customHeight="1" x14ac:dyDescent="0.3">
      <c r="A230" s="17">
        <v>228</v>
      </c>
      <c r="B230" s="17">
        <v>2535</v>
      </c>
      <c r="C230" s="23">
        <f t="shared" si="20"/>
        <v>2662.5</v>
      </c>
      <c r="D230" s="23">
        <f t="shared" si="21"/>
        <v>-127.5</v>
      </c>
      <c r="E230" s="23">
        <f t="shared" si="22"/>
        <v>3757</v>
      </c>
      <c r="F230" s="26">
        <f t="shared" si="23"/>
        <v>12013.754261199691</v>
      </c>
      <c r="G230" s="19"/>
      <c r="H230" s="23">
        <f t="shared" si="18"/>
        <v>2756.2010208072106</v>
      </c>
      <c r="I230" s="23">
        <f t="shared" si="19"/>
        <v>-221.20102080721063</v>
      </c>
    </row>
    <row r="231" spans="1:9" ht="15" customHeight="1" x14ac:dyDescent="0.3">
      <c r="A231" s="17">
        <v>229</v>
      </c>
      <c r="B231" s="17">
        <v>3029</v>
      </c>
      <c r="C231" s="24">
        <f t="shared" si="20"/>
        <v>2600</v>
      </c>
      <c r="D231" s="24">
        <f t="shared" si="21"/>
        <v>429</v>
      </c>
      <c r="E231" s="24">
        <f t="shared" si="22"/>
        <v>4313.5</v>
      </c>
      <c r="F231" s="25">
        <f t="shared" si="23"/>
        <v>12056.982955201234</v>
      </c>
      <c r="G231" s="19"/>
      <c r="H231" s="20">
        <f t="shared" si="18"/>
        <v>2711.9608166457688</v>
      </c>
      <c r="I231" s="20">
        <f t="shared" si="19"/>
        <v>317.03918335423123</v>
      </c>
    </row>
    <row r="232" spans="1:9" ht="15" customHeight="1" x14ac:dyDescent="0.3">
      <c r="A232" s="17">
        <v>230</v>
      </c>
      <c r="B232" s="17">
        <v>3114</v>
      </c>
      <c r="C232" s="23">
        <f t="shared" si="20"/>
        <v>2727.25</v>
      </c>
      <c r="D232" s="23">
        <f t="shared" si="21"/>
        <v>386.75</v>
      </c>
      <c r="E232" s="23">
        <f t="shared" si="22"/>
        <v>4271.25</v>
      </c>
      <c r="F232" s="26">
        <f t="shared" si="23"/>
        <v>12056.982955201234</v>
      </c>
      <c r="G232" s="19"/>
      <c r="H232" s="23">
        <f t="shared" si="18"/>
        <v>2775.3686533166151</v>
      </c>
      <c r="I232" s="23">
        <f t="shared" si="19"/>
        <v>338.63134668338489</v>
      </c>
    </row>
    <row r="233" spans="1:9" ht="15" customHeight="1" x14ac:dyDescent="0.3">
      <c r="A233" s="17">
        <v>231</v>
      </c>
      <c r="B233" s="17">
        <v>3007</v>
      </c>
      <c r="C233" s="24">
        <f t="shared" si="20"/>
        <v>2902.75</v>
      </c>
      <c r="D233" s="24">
        <f t="shared" si="21"/>
        <v>104.25</v>
      </c>
      <c r="E233" s="24">
        <f t="shared" si="22"/>
        <v>3988.75</v>
      </c>
      <c r="F233" s="25">
        <f t="shared" si="23"/>
        <v>12056.982955201234</v>
      </c>
      <c r="G233" s="19"/>
      <c r="H233" s="20">
        <f t="shared" si="18"/>
        <v>2843.0949226532925</v>
      </c>
      <c r="I233" s="20">
        <f t="shared" si="19"/>
        <v>163.90507734670746</v>
      </c>
    </row>
    <row r="234" spans="1:9" ht="15" customHeight="1" x14ac:dyDescent="0.3">
      <c r="A234" s="17">
        <v>232</v>
      </c>
      <c r="B234" s="17">
        <v>3033</v>
      </c>
      <c r="C234" s="23">
        <f t="shared" si="20"/>
        <v>2921.25</v>
      </c>
      <c r="D234" s="23">
        <f t="shared" si="21"/>
        <v>111.75</v>
      </c>
      <c r="E234" s="23">
        <f t="shared" si="22"/>
        <v>3996.25</v>
      </c>
      <c r="F234" s="26">
        <f t="shared" si="23"/>
        <v>12056.982955201234</v>
      </c>
      <c r="G234" s="19"/>
      <c r="H234" s="23">
        <f t="shared" si="18"/>
        <v>2875.8759381226341</v>
      </c>
      <c r="I234" s="23">
        <f t="shared" si="19"/>
        <v>157.12406187736588</v>
      </c>
    </row>
    <row r="235" spans="1:9" ht="15" customHeight="1" x14ac:dyDescent="0.3">
      <c r="A235" s="17">
        <v>233</v>
      </c>
      <c r="B235" s="17">
        <v>2757</v>
      </c>
      <c r="C235" s="24">
        <f t="shared" si="20"/>
        <v>3045.75</v>
      </c>
      <c r="D235" s="24">
        <f t="shared" si="21"/>
        <v>-288.75</v>
      </c>
      <c r="E235" s="24">
        <f t="shared" si="22"/>
        <v>3595.75</v>
      </c>
      <c r="F235" s="25">
        <f t="shared" si="23"/>
        <v>11368.754261199691</v>
      </c>
      <c r="G235" s="19"/>
      <c r="H235" s="20">
        <f t="shared" si="18"/>
        <v>2907.3007504981074</v>
      </c>
      <c r="I235" s="20">
        <f t="shared" si="19"/>
        <v>-150.30075049810739</v>
      </c>
    </row>
    <row r="236" spans="1:9" ht="15" customHeight="1" x14ac:dyDescent="0.3">
      <c r="A236" s="17">
        <v>234</v>
      </c>
      <c r="B236" s="17">
        <v>2514</v>
      </c>
      <c r="C236" s="23">
        <f t="shared" si="20"/>
        <v>2977.75</v>
      </c>
      <c r="D236" s="23">
        <f t="shared" si="21"/>
        <v>-463.75</v>
      </c>
      <c r="E236" s="23">
        <f t="shared" si="22"/>
        <v>3420.75</v>
      </c>
      <c r="F236" s="26">
        <f t="shared" si="23"/>
        <v>10668.754261199691</v>
      </c>
      <c r="G236" s="19"/>
      <c r="H236" s="23">
        <f t="shared" si="18"/>
        <v>2877.2406003984861</v>
      </c>
      <c r="I236" s="23">
        <f t="shared" si="19"/>
        <v>-363.24060039848609</v>
      </c>
    </row>
    <row r="237" spans="1:9" ht="15" customHeight="1" x14ac:dyDescent="0.3">
      <c r="A237" s="17">
        <v>235</v>
      </c>
      <c r="B237" s="17">
        <v>2651</v>
      </c>
      <c r="C237" s="24">
        <f t="shared" si="20"/>
        <v>2827.75</v>
      </c>
      <c r="D237" s="24">
        <f t="shared" si="21"/>
        <v>-176.75</v>
      </c>
      <c r="E237" s="24">
        <f t="shared" si="22"/>
        <v>3707.75</v>
      </c>
      <c r="F237" s="25">
        <f t="shared" si="23"/>
        <v>11816.754261199691</v>
      </c>
      <c r="G237" s="19"/>
      <c r="H237" s="20">
        <f t="shared" si="18"/>
        <v>2804.5924803187891</v>
      </c>
      <c r="I237" s="20">
        <f t="shared" si="19"/>
        <v>-153.59248031878906</v>
      </c>
    </row>
    <row r="238" spans="1:9" ht="15" customHeight="1" x14ac:dyDescent="0.3">
      <c r="A238" s="17">
        <v>236</v>
      </c>
      <c r="B238" s="17">
        <v>2995</v>
      </c>
      <c r="C238" s="23">
        <f t="shared" si="20"/>
        <v>2738.75</v>
      </c>
      <c r="D238" s="23">
        <f t="shared" si="21"/>
        <v>256.25</v>
      </c>
      <c r="E238" s="23">
        <f t="shared" si="22"/>
        <v>4140.75</v>
      </c>
      <c r="F238" s="26">
        <f t="shared" si="23"/>
        <v>12056.982955201234</v>
      </c>
      <c r="G238" s="19"/>
      <c r="H238" s="23">
        <f t="shared" si="18"/>
        <v>2773.8739842550312</v>
      </c>
      <c r="I238" s="23">
        <f t="shared" si="19"/>
        <v>221.12601574496875</v>
      </c>
    </row>
    <row r="239" spans="1:9" ht="15" customHeight="1" x14ac:dyDescent="0.3">
      <c r="A239" s="17">
        <v>237</v>
      </c>
      <c r="B239" s="17">
        <v>3408</v>
      </c>
      <c r="C239" s="24">
        <f t="shared" si="20"/>
        <v>2729.25</v>
      </c>
      <c r="D239" s="24">
        <f t="shared" si="21"/>
        <v>678.75</v>
      </c>
      <c r="E239" s="24">
        <f t="shared" si="22"/>
        <v>4563.25</v>
      </c>
      <c r="F239" s="25">
        <f t="shared" si="23"/>
        <v>12056.982955201234</v>
      </c>
      <c r="G239" s="19"/>
      <c r="H239" s="20">
        <f t="shared" si="18"/>
        <v>2818.0991874040251</v>
      </c>
      <c r="I239" s="20">
        <f t="shared" si="19"/>
        <v>589.90081259597491</v>
      </c>
    </row>
    <row r="240" spans="1:9" ht="15" customHeight="1" x14ac:dyDescent="0.3">
      <c r="A240" s="17">
        <v>238</v>
      </c>
      <c r="B240" s="17">
        <v>3006</v>
      </c>
      <c r="C240" s="23">
        <f t="shared" si="20"/>
        <v>2892</v>
      </c>
      <c r="D240" s="23">
        <f t="shared" si="21"/>
        <v>114</v>
      </c>
      <c r="E240" s="23">
        <f t="shared" si="22"/>
        <v>3998.5</v>
      </c>
      <c r="F240" s="26">
        <f t="shared" si="23"/>
        <v>12056.982955201234</v>
      </c>
      <c r="G240" s="19"/>
      <c r="H240" s="23">
        <f t="shared" si="18"/>
        <v>2936.07934992322</v>
      </c>
      <c r="I240" s="23">
        <f t="shared" si="19"/>
        <v>69.920650076780021</v>
      </c>
    </row>
    <row r="241" spans="1:9" ht="15" customHeight="1" x14ac:dyDescent="0.3">
      <c r="A241" s="17">
        <v>239</v>
      </c>
      <c r="B241" s="17">
        <v>2874</v>
      </c>
      <c r="C241" s="24">
        <f t="shared" si="20"/>
        <v>3015</v>
      </c>
      <c r="D241" s="24">
        <f t="shared" si="21"/>
        <v>-141</v>
      </c>
      <c r="E241" s="24">
        <f t="shared" si="22"/>
        <v>3743.5</v>
      </c>
      <c r="F241" s="25">
        <f t="shared" si="23"/>
        <v>11959.754261199691</v>
      </c>
      <c r="G241" s="19"/>
      <c r="H241" s="20">
        <f t="shared" si="18"/>
        <v>2950.0634799385762</v>
      </c>
      <c r="I241" s="20">
        <f t="shared" si="19"/>
        <v>-76.063479938576165</v>
      </c>
    </row>
    <row r="242" spans="1:9" ht="15" customHeight="1" x14ac:dyDescent="0.3">
      <c r="A242" s="17">
        <v>240</v>
      </c>
      <c r="B242" s="17">
        <v>2777</v>
      </c>
      <c r="C242" s="23">
        <f t="shared" si="20"/>
        <v>3070.75</v>
      </c>
      <c r="D242" s="23">
        <f t="shared" si="21"/>
        <v>-293.75</v>
      </c>
      <c r="E242" s="23">
        <f t="shared" si="22"/>
        <v>3590.75</v>
      </c>
      <c r="F242" s="26">
        <f t="shared" si="23"/>
        <v>11348.754261199691</v>
      </c>
      <c r="G242" s="19"/>
      <c r="H242" s="23">
        <f t="shared" si="18"/>
        <v>2934.8507839508611</v>
      </c>
      <c r="I242" s="23">
        <f t="shared" si="19"/>
        <v>-157.85078395086111</v>
      </c>
    </row>
    <row r="243" spans="1:9" ht="15" customHeight="1" x14ac:dyDescent="0.3">
      <c r="A243" s="17">
        <v>241</v>
      </c>
      <c r="B243" s="17">
        <v>2529</v>
      </c>
      <c r="C243" s="24">
        <f t="shared" si="20"/>
        <v>3016.25</v>
      </c>
      <c r="D243" s="24">
        <f t="shared" si="21"/>
        <v>-487.25</v>
      </c>
      <c r="E243" s="24">
        <f t="shared" si="22"/>
        <v>3397.25</v>
      </c>
      <c r="F243" s="25">
        <f t="shared" si="23"/>
        <v>10574.754261199691</v>
      </c>
      <c r="G243" s="19"/>
      <c r="H243" s="20">
        <f t="shared" si="18"/>
        <v>2903.2806271606892</v>
      </c>
      <c r="I243" s="20">
        <f t="shared" si="19"/>
        <v>-374.28062716068916</v>
      </c>
    </row>
    <row r="244" spans="1:9" ht="15" customHeight="1" x14ac:dyDescent="0.3">
      <c r="A244" s="17">
        <v>242</v>
      </c>
      <c r="B244" s="17">
        <v>2500</v>
      </c>
      <c r="C244" s="23">
        <f t="shared" si="20"/>
        <v>2796.5</v>
      </c>
      <c r="D244" s="23">
        <f t="shared" si="21"/>
        <v>-296.5</v>
      </c>
      <c r="E244" s="23">
        <f t="shared" si="22"/>
        <v>3588</v>
      </c>
      <c r="F244" s="26">
        <f t="shared" si="23"/>
        <v>11337.754261199691</v>
      </c>
      <c r="G244" s="19"/>
      <c r="H244" s="23">
        <f t="shared" si="18"/>
        <v>2828.4245017285516</v>
      </c>
      <c r="I244" s="23">
        <f t="shared" si="19"/>
        <v>-328.4245017285516</v>
      </c>
    </row>
    <row r="245" spans="1:9" ht="15" customHeight="1" x14ac:dyDescent="0.3">
      <c r="A245" s="17">
        <v>243</v>
      </c>
      <c r="B245" s="17">
        <v>3246</v>
      </c>
      <c r="C245" s="24">
        <f t="shared" si="20"/>
        <v>2670</v>
      </c>
      <c r="D245" s="24">
        <f t="shared" si="21"/>
        <v>576</v>
      </c>
      <c r="E245" s="24">
        <f t="shared" si="22"/>
        <v>4460.5</v>
      </c>
      <c r="F245" s="25">
        <f t="shared" si="23"/>
        <v>12056.982955201234</v>
      </c>
      <c r="G245" s="19"/>
      <c r="H245" s="20">
        <f t="shared" si="18"/>
        <v>2762.7396013828416</v>
      </c>
      <c r="I245" s="20">
        <f t="shared" si="19"/>
        <v>483.26039861715844</v>
      </c>
    </row>
    <row r="246" spans="1:9" ht="15" customHeight="1" x14ac:dyDescent="0.3">
      <c r="A246" s="17">
        <v>244</v>
      </c>
      <c r="B246" s="17">
        <v>2938</v>
      </c>
      <c r="C246" s="23">
        <f t="shared" si="20"/>
        <v>2763</v>
      </c>
      <c r="D246" s="23">
        <f t="shared" si="21"/>
        <v>175</v>
      </c>
      <c r="E246" s="23">
        <f t="shared" si="22"/>
        <v>4059.5</v>
      </c>
      <c r="F246" s="26">
        <f t="shared" si="23"/>
        <v>12056.982955201234</v>
      </c>
      <c r="G246" s="19"/>
      <c r="H246" s="23">
        <f t="shared" si="18"/>
        <v>2859.3916811062736</v>
      </c>
      <c r="I246" s="23">
        <f t="shared" si="19"/>
        <v>78.608318893726391</v>
      </c>
    </row>
    <row r="247" spans="1:9" ht="15" customHeight="1" x14ac:dyDescent="0.3">
      <c r="A247" s="17">
        <v>245</v>
      </c>
      <c r="B247" s="17">
        <v>3353</v>
      </c>
      <c r="C247" s="24">
        <f t="shared" si="20"/>
        <v>2803.25</v>
      </c>
      <c r="D247" s="24">
        <f t="shared" si="21"/>
        <v>549.75</v>
      </c>
      <c r="E247" s="24">
        <f t="shared" si="22"/>
        <v>4434.25</v>
      </c>
      <c r="F247" s="25">
        <f t="shared" si="23"/>
        <v>12056.982955201234</v>
      </c>
      <c r="G247" s="19"/>
      <c r="H247" s="20">
        <f t="shared" si="18"/>
        <v>2875.1133448850187</v>
      </c>
      <c r="I247" s="20">
        <f t="shared" si="19"/>
        <v>477.88665511498129</v>
      </c>
    </row>
    <row r="248" spans="1:9" ht="15" customHeight="1" x14ac:dyDescent="0.3">
      <c r="A248" s="17">
        <v>246</v>
      </c>
      <c r="B248" s="17">
        <v>3441</v>
      </c>
      <c r="C248" s="23">
        <f t="shared" si="20"/>
        <v>3009.25</v>
      </c>
      <c r="D248" s="23">
        <f t="shared" si="21"/>
        <v>431.75</v>
      </c>
      <c r="E248" s="23">
        <f t="shared" si="22"/>
        <v>4316.25</v>
      </c>
      <c r="F248" s="26">
        <f t="shared" si="23"/>
        <v>12056.982955201234</v>
      </c>
      <c r="G248" s="19"/>
      <c r="H248" s="23">
        <f t="shared" si="18"/>
        <v>2970.6906759080148</v>
      </c>
      <c r="I248" s="23">
        <f t="shared" si="19"/>
        <v>470.30932409198522</v>
      </c>
    </row>
    <row r="249" spans="1:9" ht="15" customHeight="1" x14ac:dyDescent="0.3">
      <c r="A249" s="17">
        <v>247</v>
      </c>
      <c r="B249" s="17">
        <v>3143</v>
      </c>
      <c r="C249" s="24">
        <f t="shared" si="20"/>
        <v>3244.5</v>
      </c>
      <c r="D249" s="24">
        <f t="shared" si="21"/>
        <v>-101.5</v>
      </c>
      <c r="E249" s="24">
        <f t="shared" si="22"/>
        <v>3783</v>
      </c>
      <c r="F249" s="25">
        <f t="shared" si="23"/>
        <v>12056.982955201234</v>
      </c>
      <c r="G249" s="19"/>
      <c r="H249" s="20">
        <f t="shared" si="18"/>
        <v>3064.752540726412</v>
      </c>
      <c r="I249" s="20">
        <f t="shared" si="19"/>
        <v>78.247459273587992</v>
      </c>
    </row>
    <row r="250" spans="1:9" ht="15" customHeight="1" x14ac:dyDescent="0.3">
      <c r="A250" s="17">
        <v>248</v>
      </c>
      <c r="B250" s="17">
        <v>3239</v>
      </c>
      <c r="C250" s="23">
        <f t="shared" si="20"/>
        <v>3218.75</v>
      </c>
      <c r="D250" s="23">
        <f t="shared" si="21"/>
        <v>20.25</v>
      </c>
      <c r="E250" s="23">
        <f t="shared" si="22"/>
        <v>3904.75</v>
      </c>
      <c r="F250" s="26">
        <f t="shared" si="23"/>
        <v>12056.982955201234</v>
      </c>
      <c r="G250" s="19"/>
      <c r="H250" s="23">
        <f t="shared" si="18"/>
        <v>3080.4020325811298</v>
      </c>
      <c r="I250" s="23">
        <f t="shared" si="19"/>
        <v>158.59796741887021</v>
      </c>
    </row>
    <row r="251" spans="1:9" ht="15" customHeight="1" x14ac:dyDescent="0.3">
      <c r="A251" s="17">
        <v>249</v>
      </c>
      <c r="B251" s="17">
        <v>3373</v>
      </c>
      <c r="C251" s="24">
        <f t="shared" si="20"/>
        <v>3294</v>
      </c>
      <c r="D251" s="24">
        <f t="shared" si="21"/>
        <v>79</v>
      </c>
      <c r="E251" s="24">
        <f t="shared" si="22"/>
        <v>3963.5</v>
      </c>
      <c r="F251" s="25">
        <f t="shared" si="23"/>
        <v>12056.982955201234</v>
      </c>
      <c r="G251" s="19"/>
      <c r="H251" s="20">
        <f t="shared" si="18"/>
        <v>3112.1216260649044</v>
      </c>
      <c r="I251" s="20">
        <f t="shared" si="19"/>
        <v>260.87837393509562</v>
      </c>
    </row>
    <row r="252" spans="1:9" ht="15" customHeight="1" x14ac:dyDescent="0.3">
      <c r="A252" s="17">
        <v>250</v>
      </c>
      <c r="B252" s="17">
        <v>2618</v>
      </c>
      <c r="C252" s="23">
        <f t="shared" si="20"/>
        <v>3299</v>
      </c>
      <c r="D252" s="23">
        <f t="shared" si="21"/>
        <v>-681</v>
      </c>
      <c r="E252" s="23">
        <f t="shared" si="22"/>
        <v>3203.5</v>
      </c>
      <c r="F252" s="26">
        <f t="shared" si="23"/>
        <v>9799.7542611996905</v>
      </c>
      <c r="G252" s="19"/>
      <c r="H252" s="23">
        <f t="shared" si="18"/>
        <v>3164.2973008519234</v>
      </c>
      <c r="I252" s="23">
        <f t="shared" si="19"/>
        <v>-546.29730085192341</v>
      </c>
    </row>
    <row r="253" spans="1:9" ht="15" customHeight="1" x14ac:dyDescent="0.3">
      <c r="A253" s="17">
        <v>251</v>
      </c>
      <c r="B253" s="17">
        <v>3320</v>
      </c>
      <c r="C253" s="24">
        <f t="shared" si="20"/>
        <v>3093.25</v>
      </c>
      <c r="D253" s="24">
        <f t="shared" si="21"/>
        <v>226.75</v>
      </c>
      <c r="E253" s="24">
        <f t="shared" si="22"/>
        <v>4111.25</v>
      </c>
      <c r="F253" s="25">
        <f t="shared" si="23"/>
        <v>12056.982955201234</v>
      </c>
      <c r="G253" s="19"/>
      <c r="H253" s="20">
        <f t="shared" si="18"/>
        <v>3055.0378406815389</v>
      </c>
      <c r="I253" s="20">
        <f t="shared" si="19"/>
        <v>264.96215931846109</v>
      </c>
    </row>
    <row r="254" spans="1:9" ht="15" customHeight="1" x14ac:dyDescent="0.3">
      <c r="A254" s="17">
        <v>252</v>
      </c>
      <c r="B254" s="17">
        <v>2781</v>
      </c>
      <c r="C254" s="23">
        <f t="shared" si="20"/>
        <v>3137.5</v>
      </c>
      <c r="D254" s="23">
        <f t="shared" si="21"/>
        <v>-356.5</v>
      </c>
      <c r="E254" s="23">
        <f t="shared" si="22"/>
        <v>3528</v>
      </c>
      <c r="F254" s="26">
        <f t="shared" si="23"/>
        <v>11097.754261199691</v>
      </c>
      <c r="G254" s="19"/>
      <c r="H254" s="23">
        <f t="shared" si="18"/>
        <v>3108.0302725452311</v>
      </c>
      <c r="I254" s="23">
        <f t="shared" si="19"/>
        <v>-327.03027254523113</v>
      </c>
    </row>
    <row r="255" spans="1:9" ht="15" customHeight="1" x14ac:dyDescent="0.3">
      <c r="A255" s="17">
        <v>253</v>
      </c>
      <c r="B255" s="17">
        <v>3357</v>
      </c>
      <c r="C255" s="24">
        <f t="shared" si="20"/>
        <v>3023</v>
      </c>
      <c r="D255" s="24">
        <f t="shared" si="21"/>
        <v>334</v>
      </c>
      <c r="E255" s="24">
        <f t="shared" si="22"/>
        <v>4218.5</v>
      </c>
      <c r="F255" s="25">
        <f t="shared" si="23"/>
        <v>12056.982955201234</v>
      </c>
      <c r="G255" s="19"/>
      <c r="H255" s="20">
        <f t="shared" si="18"/>
        <v>3042.6242180361851</v>
      </c>
      <c r="I255" s="20">
        <f t="shared" si="19"/>
        <v>314.37578196381492</v>
      </c>
    </row>
    <row r="256" spans="1:9" ht="15" customHeight="1" x14ac:dyDescent="0.3">
      <c r="A256" s="17">
        <v>254</v>
      </c>
      <c r="B256" s="17">
        <v>2778</v>
      </c>
      <c r="C256" s="23">
        <f t="shared" si="20"/>
        <v>3019</v>
      </c>
      <c r="D256" s="23">
        <f t="shared" si="21"/>
        <v>-241</v>
      </c>
      <c r="E256" s="23">
        <f t="shared" si="22"/>
        <v>3643.5</v>
      </c>
      <c r="F256" s="26">
        <f t="shared" si="23"/>
        <v>11559.754261199691</v>
      </c>
      <c r="G256" s="19"/>
      <c r="H256" s="23">
        <f t="shared" si="18"/>
        <v>3105.4993744289482</v>
      </c>
      <c r="I256" s="23">
        <f t="shared" si="19"/>
        <v>-327.49937442894816</v>
      </c>
    </row>
    <row r="257" spans="1:9" ht="15" customHeight="1" x14ac:dyDescent="0.3">
      <c r="A257" s="17">
        <v>255</v>
      </c>
      <c r="B257" s="17">
        <v>3449</v>
      </c>
      <c r="C257" s="24">
        <f t="shared" si="20"/>
        <v>3059</v>
      </c>
      <c r="D257" s="24">
        <f t="shared" si="21"/>
        <v>390</v>
      </c>
      <c r="E257" s="24">
        <f t="shared" si="22"/>
        <v>4274.5</v>
      </c>
      <c r="F257" s="25">
        <f t="shared" si="23"/>
        <v>12056.982955201234</v>
      </c>
      <c r="G257" s="19"/>
      <c r="H257" s="20">
        <f t="shared" si="18"/>
        <v>3039.9994995431584</v>
      </c>
      <c r="I257" s="20">
        <f t="shared" si="19"/>
        <v>409.00050045684156</v>
      </c>
    </row>
    <row r="258" spans="1:9" ht="15" customHeight="1" x14ac:dyDescent="0.3">
      <c r="A258" s="17">
        <v>256</v>
      </c>
      <c r="B258" s="17">
        <v>3086</v>
      </c>
      <c r="C258" s="23">
        <f t="shared" si="20"/>
        <v>3091.25</v>
      </c>
      <c r="D258" s="23">
        <f t="shared" si="21"/>
        <v>-5.25</v>
      </c>
      <c r="E258" s="23">
        <f t="shared" si="22"/>
        <v>3879.25</v>
      </c>
      <c r="F258" s="26">
        <f t="shared" si="23"/>
        <v>12056.982955201234</v>
      </c>
      <c r="G258" s="19"/>
      <c r="H258" s="23">
        <f t="shared" si="18"/>
        <v>3121.7995996345271</v>
      </c>
      <c r="I258" s="23">
        <f t="shared" si="19"/>
        <v>-35.799599634527112</v>
      </c>
    </row>
    <row r="259" spans="1:9" ht="15" customHeight="1" x14ac:dyDescent="0.3">
      <c r="A259" s="17">
        <v>257</v>
      </c>
      <c r="B259" s="17">
        <v>2577</v>
      </c>
      <c r="C259" s="24">
        <f t="shared" si="20"/>
        <v>3167.5</v>
      </c>
      <c r="D259" s="24">
        <f t="shared" si="21"/>
        <v>-590.5</v>
      </c>
      <c r="E259" s="24">
        <f t="shared" si="22"/>
        <v>3294</v>
      </c>
      <c r="F259" s="25">
        <f t="shared" si="23"/>
        <v>10161.754261199691</v>
      </c>
      <c r="G259" s="19"/>
      <c r="H259" s="20">
        <f t="shared" si="18"/>
        <v>3114.6396797076222</v>
      </c>
      <c r="I259" s="20">
        <f t="shared" si="19"/>
        <v>-537.63967970762224</v>
      </c>
    </row>
    <row r="260" spans="1:9" ht="15" customHeight="1" x14ac:dyDescent="0.3">
      <c r="A260" s="17">
        <v>258</v>
      </c>
      <c r="B260" s="17">
        <v>3360</v>
      </c>
      <c r="C260" s="23">
        <f t="shared" si="20"/>
        <v>2972.5</v>
      </c>
      <c r="D260" s="23">
        <f t="shared" si="21"/>
        <v>387.5</v>
      </c>
      <c r="E260" s="23">
        <f t="shared" si="22"/>
        <v>4272</v>
      </c>
      <c r="F260" s="26">
        <f t="shared" si="23"/>
        <v>12056.982955201234</v>
      </c>
      <c r="G260" s="19"/>
      <c r="H260" s="23">
        <f t="shared" ref="H260:H323" si="24">0.2*B259+0.8*H259</f>
        <v>3007.1117437660982</v>
      </c>
      <c r="I260" s="23">
        <f t="shared" ref="I260:I323" si="25">B260-H260</f>
        <v>352.88825623390176</v>
      </c>
    </row>
    <row r="261" spans="1:9" ht="15" customHeight="1" x14ac:dyDescent="0.3">
      <c r="A261" s="17">
        <v>259</v>
      </c>
      <c r="B261" s="17">
        <v>3444</v>
      </c>
      <c r="C261" s="24">
        <f t="shared" si="20"/>
        <v>3118</v>
      </c>
      <c r="D261" s="24">
        <f t="shared" si="21"/>
        <v>326</v>
      </c>
      <c r="E261" s="24">
        <f t="shared" si="22"/>
        <v>4210.5</v>
      </c>
      <c r="F261" s="25">
        <f t="shared" si="23"/>
        <v>12056.982955201234</v>
      </c>
      <c r="G261" s="19"/>
      <c r="H261" s="20">
        <f t="shared" si="24"/>
        <v>3077.6893950128788</v>
      </c>
      <c r="I261" s="20">
        <f t="shared" si="25"/>
        <v>366.31060498712122</v>
      </c>
    </row>
    <row r="262" spans="1:9" ht="15" customHeight="1" x14ac:dyDescent="0.3">
      <c r="A262" s="17">
        <v>260</v>
      </c>
      <c r="B262" s="17">
        <v>3076</v>
      </c>
      <c r="C262" s="23">
        <f t="shared" si="20"/>
        <v>3116.75</v>
      </c>
      <c r="D262" s="23">
        <f t="shared" si="21"/>
        <v>-40.75</v>
      </c>
      <c r="E262" s="23">
        <f t="shared" si="22"/>
        <v>3843.75</v>
      </c>
      <c r="F262" s="26">
        <f t="shared" si="23"/>
        <v>12056.982955201234</v>
      </c>
      <c r="G262" s="19"/>
      <c r="H262" s="23">
        <f t="shared" si="24"/>
        <v>3150.9515160103033</v>
      </c>
      <c r="I262" s="23">
        <f t="shared" si="25"/>
        <v>-74.951516010303294</v>
      </c>
    </row>
    <row r="263" spans="1:9" ht="15" customHeight="1" x14ac:dyDescent="0.3">
      <c r="A263" s="17">
        <v>261</v>
      </c>
      <c r="B263" s="17">
        <v>2671</v>
      </c>
      <c r="C263" s="24">
        <f t="shared" ref="C263:C326" si="26">AVERAGE(B259:B262)</f>
        <v>3114.25</v>
      </c>
      <c r="D263" s="24">
        <f t="shared" ref="D263:D326" si="27">B263-C263</f>
        <v>-443.25</v>
      </c>
      <c r="E263" s="24">
        <f t="shared" ref="E263:E326" si="28">$C$502+D263</f>
        <v>3441.25</v>
      </c>
      <c r="F263" s="25">
        <f t="shared" ref="F263:F326" si="29">4*MIN(E263,$E$509)-0.8*$E$509</f>
        <v>10750.754261199691</v>
      </c>
      <c r="G263" s="19"/>
      <c r="H263" s="20">
        <f t="shared" si="24"/>
        <v>3135.9612128082426</v>
      </c>
      <c r="I263" s="20">
        <f t="shared" si="25"/>
        <v>-464.96121280824264</v>
      </c>
    </row>
    <row r="264" spans="1:9" ht="15" customHeight="1" x14ac:dyDescent="0.3">
      <c r="A264" s="17">
        <v>262</v>
      </c>
      <c r="B264" s="17">
        <v>3101</v>
      </c>
      <c r="C264" s="23">
        <f t="shared" si="26"/>
        <v>3137.75</v>
      </c>
      <c r="D264" s="23">
        <f t="shared" si="27"/>
        <v>-36.75</v>
      </c>
      <c r="E264" s="23">
        <f t="shared" si="28"/>
        <v>3847.75</v>
      </c>
      <c r="F264" s="26">
        <f t="shared" si="29"/>
        <v>12056.982955201234</v>
      </c>
      <c r="G264" s="19"/>
      <c r="H264" s="23">
        <f t="shared" si="24"/>
        <v>3042.9689702465939</v>
      </c>
      <c r="I264" s="23">
        <f t="shared" si="25"/>
        <v>58.031029753406074</v>
      </c>
    </row>
    <row r="265" spans="1:9" ht="15" customHeight="1" x14ac:dyDescent="0.3">
      <c r="A265" s="17">
        <v>263</v>
      </c>
      <c r="B265" s="17">
        <v>3256</v>
      </c>
      <c r="C265" s="24">
        <f t="shared" si="26"/>
        <v>3073</v>
      </c>
      <c r="D265" s="24">
        <f t="shared" si="27"/>
        <v>183</v>
      </c>
      <c r="E265" s="24">
        <f t="shared" si="28"/>
        <v>4067.5</v>
      </c>
      <c r="F265" s="25">
        <f t="shared" si="29"/>
        <v>12056.982955201234</v>
      </c>
      <c r="G265" s="19"/>
      <c r="H265" s="20">
        <f t="shared" si="24"/>
        <v>3054.5751761972751</v>
      </c>
      <c r="I265" s="20">
        <f t="shared" si="25"/>
        <v>201.42482380272486</v>
      </c>
    </row>
    <row r="266" spans="1:9" ht="15" customHeight="1" x14ac:dyDescent="0.3">
      <c r="A266" s="17">
        <v>264</v>
      </c>
      <c r="B266" s="17">
        <v>3345</v>
      </c>
      <c r="C266" s="23">
        <f t="shared" si="26"/>
        <v>3026</v>
      </c>
      <c r="D266" s="23">
        <f t="shared" si="27"/>
        <v>319</v>
      </c>
      <c r="E266" s="23">
        <f t="shared" si="28"/>
        <v>4203.5</v>
      </c>
      <c r="F266" s="26">
        <f t="shared" si="29"/>
        <v>12056.982955201234</v>
      </c>
      <c r="G266" s="19"/>
      <c r="H266" s="23">
        <f t="shared" si="24"/>
        <v>3094.8601409578205</v>
      </c>
      <c r="I266" s="23">
        <f t="shared" si="25"/>
        <v>250.13985904217952</v>
      </c>
    </row>
    <row r="267" spans="1:9" ht="15" customHeight="1" x14ac:dyDescent="0.3">
      <c r="A267" s="17">
        <v>265</v>
      </c>
      <c r="B267" s="17">
        <v>3365</v>
      </c>
      <c r="C267" s="24">
        <f t="shared" si="26"/>
        <v>3093.25</v>
      </c>
      <c r="D267" s="24">
        <f t="shared" si="27"/>
        <v>271.75</v>
      </c>
      <c r="E267" s="24">
        <f t="shared" si="28"/>
        <v>4156.25</v>
      </c>
      <c r="F267" s="25">
        <f t="shared" si="29"/>
        <v>12056.982955201234</v>
      </c>
      <c r="G267" s="19"/>
      <c r="H267" s="20">
        <f t="shared" si="24"/>
        <v>3144.8881127662567</v>
      </c>
      <c r="I267" s="20">
        <f t="shared" si="25"/>
        <v>220.11188723374335</v>
      </c>
    </row>
    <row r="268" spans="1:9" ht="15" customHeight="1" x14ac:dyDescent="0.3">
      <c r="A268" s="17">
        <v>266</v>
      </c>
      <c r="B268" s="17">
        <v>3214</v>
      </c>
      <c r="C268" s="23">
        <f t="shared" si="26"/>
        <v>3266.75</v>
      </c>
      <c r="D268" s="23">
        <f t="shared" si="27"/>
        <v>-52.75</v>
      </c>
      <c r="E268" s="23">
        <f t="shared" si="28"/>
        <v>3831.75</v>
      </c>
      <c r="F268" s="26">
        <f t="shared" si="29"/>
        <v>12056.982955201234</v>
      </c>
      <c r="G268" s="19"/>
      <c r="H268" s="23">
        <f t="shared" si="24"/>
        <v>3188.9104902130057</v>
      </c>
      <c r="I268" s="23">
        <f t="shared" si="25"/>
        <v>25.089509786994313</v>
      </c>
    </row>
    <row r="269" spans="1:9" ht="15" customHeight="1" x14ac:dyDescent="0.3">
      <c r="A269" s="17">
        <v>267</v>
      </c>
      <c r="B269" s="17">
        <v>2846</v>
      </c>
      <c r="C269" s="24">
        <f t="shared" si="26"/>
        <v>3295</v>
      </c>
      <c r="D269" s="24">
        <f t="shared" si="27"/>
        <v>-449</v>
      </c>
      <c r="E269" s="24">
        <f t="shared" si="28"/>
        <v>3435.5</v>
      </c>
      <c r="F269" s="25">
        <f t="shared" si="29"/>
        <v>10727.754261199691</v>
      </c>
      <c r="G269" s="19"/>
      <c r="H269" s="20">
        <f t="shared" si="24"/>
        <v>3193.928392170405</v>
      </c>
      <c r="I269" s="20">
        <f t="shared" si="25"/>
        <v>-347.928392170405</v>
      </c>
    </row>
    <row r="270" spans="1:9" ht="15" customHeight="1" x14ac:dyDescent="0.3">
      <c r="A270" s="17">
        <v>268</v>
      </c>
      <c r="B270" s="17">
        <v>3111</v>
      </c>
      <c r="C270" s="23">
        <f t="shared" si="26"/>
        <v>3192.5</v>
      </c>
      <c r="D270" s="23">
        <f t="shared" si="27"/>
        <v>-81.5</v>
      </c>
      <c r="E270" s="23">
        <f t="shared" si="28"/>
        <v>3803</v>
      </c>
      <c r="F270" s="26">
        <f t="shared" si="29"/>
        <v>12056.982955201234</v>
      </c>
      <c r="G270" s="19"/>
      <c r="H270" s="23">
        <f t="shared" si="24"/>
        <v>3124.3427137363242</v>
      </c>
      <c r="I270" s="23">
        <f t="shared" si="25"/>
        <v>-13.342713736324185</v>
      </c>
    </row>
    <row r="271" spans="1:9" ht="15" customHeight="1" x14ac:dyDescent="0.3">
      <c r="A271" s="17">
        <v>269</v>
      </c>
      <c r="B271" s="17">
        <v>2695</v>
      </c>
      <c r="C271" s="24">
        <f t="shared" si="26"/>
        <v>3134</v>
      </c>
      <c r="D271" s="24">
        <f t="shared" si="27"/>
        <v>-439</v>
      </c>
      <c r="E271" s="24">
        <f t="shared" si="28"/>
        <v>3445.5</v>
      </c>
      <c r="F271" s="25">
        <f t="shared" si="29"/>
        <v>10767.754261199691</v>
      </c>
      <c r="G271" s="19"/>
      <c r="H271" s="20">
        <f t="shared" si="24"/>
        <v>3121.6741709890593</v>
      </c>
      <c r="I271" s="20">
        <f t="shared" si="25"/>
        <v>-426.67417098905935</v>
      </c>
    </row>
    <row r="272" spans="1:9" ht="15" customHeight="1" x14ac:dyDescent="0.3">
      <c r="A272" s="17">
        <v>270</v>
      </c>
      <c r="B272" s="17">
        <v>3571</v>
      </c>
      <c r="C272" s="23">
        <f t="shared" si="26"/>
        <v>2966.5</v>
      </c>
      <c r="D272" s="23">
        <f t="shared" si="27"/>
        <v>604.5</v>
      </c>
      <c r="E272" s="23">
        <f t="shared" si="28"/>
        <v>4489</v>
      </c>
      <c r="F272" s="26">
        <f t="shared" si="29"/>
        <v>12056.982955201234</v>
      </c>
      <c r="G272" s="19"/>
      <c r="H272" s="23">
        <f t="shared" si="24"/>
        <v>3036.3393367912477</v>
      </c>
      <c r="I272" s="23">
        <f t="shared" si="25"/>
        <v>534.66066320875234</v>
      </c>
    </row>
    <row r="273" spans="1:9" ht="15" customHeight="1" x14ac:dyDescent="0.3">
      <c r="A273" s="17">
        <v>271</v>
      </c>
      <c r="B273" s="17">
        <v>3444</v>
      </c>
      <c r="C273" s="24">
        <f t="shared" si="26"/>
        <v>3055.75</v>
      </c>
      <c r="D273" s="24">
        <f t="shared" si="27"/>
        <v>388.25</v>
      </c>
      <c r="E273" s="24">
        <f t="shared" si="28"/>
        <v>4272.75</v>
      </c>
      <c r="F273" s="25">
        <f t="shared" si="29"/>
        <v>12056.982955201234</v>
      </c>
      <c r="G273" s="19"/>
      <c r="H273" s="20">
        <f t="shared" si="24"/>
        <v>3143.2714694329979</v>
      </c>
      <c r="I273" s="20">
        <f t="shared" si="25"/>
        <v>300.72853056700205</v>
      </c>
    </row>
    <row r="274" spans="1:9" ht="15" customHeight="1" x14ac:dyDescent="0.3">
      <c r="A274" s="17">
        <v>272</v>
      </c>
      <c r="B274" s="17">
        <v>3475</v>
      </c>
      <c r="C274" s="23">
        <f t="shared" si="26"/>
        <v>3205.25</v>
      </c>
      <c r="D274" s="23">
        <f t="shared" si="27"/>
        <v>269.75</v>
      </c>
      <c r="E274" s="23">
        <f t="shared" si="28"/>
        <v>4154.25</v>
      </c>
      <c r="F274" s="26">
        <f t="shared" si="29"/>
        <v>12056.982955201234</v>
      </c>
      <c r="G274" s="19"/>
      <c r="H274" s="23">
        <f t="shared" si="24"/>
        <v>3203.4171755463985</v>
      </c>
      <c r="I274" s="23">
        <f t="shared" si="25"/>
        <v>271.58282445360146</v>
      </c>
    </row>
    <row r="275" spans="1:9" ht="15" customHeight="1" x14ac:dyDescent="0.3">
      <c r="A275" s="17">
        <v>273</v>
      </c>
      <c r="B275" s="17">
        <v>2828</v>
      </c>
      <c r="C275" s="24">
        <f t="shared" si="26"/>
        <v>3296.25</v>
      </c>
      <c r="D275" s="24">
        <f t="shared" si="27"/>
        <v>-468.25</v>
      </c>
      <c r="E275" s="24">
        <f t="shared" si="28"/>
        <v>3416.25</v>
      </c>
      <c r="F275" s="25">
        <f t="shared" si="29"/>
        <v>10650.754261199691</v>
      </c>
      <c r="G275" s="19"/>
      <c r="H275" s="20">
        <f t="shared" si="24"/>
        <v>3257.7337404371192</v>
      </c>
      <c r="I275" s="20">
        <f t="shared" si="25"/>
        <v>-429.7337404371192</v>
      </c>
    </row>
    <row r="276" spans="1:9" ht="15" customHeight="1" x14ac:dyDescent="0.3">
      <c r="A276" s="17">
        <v>274</v>
      </c>
      <c r="B276" s="17">
        <v>2878</v>
      </c>
      <c r="C276" s="23">
        <f t="shared" si="26"/>
        <v>3329.5</v>
      </c>
      <c r="D276" s="23">
        <f t="shared" si="27"/>
        <v>-451.5</v>
      </c>
      <c r="E276" s="23">
        <f t="shared" si="28"/>
        <v>3433</v>
      </c>
      <c r="F276" s="26">
        <f t="shared" si="29"/>
        <v>10717.754261199691</v>
      </c>
      <c r="G276" s="19"/>
      <c r="H276" s="23">
        <f t="shared" si="24"/>
        <v>3171.7869923496955</v>
      </c>
      <c r="I276" s="23">
        <f t="shared" si="25"/>
        <v>-293.78699234969554</v>
      </c>
    </row>
    <row r="277" spans="1:9" ht="15" customHeight="1" x14ac:dyDescent="0.3">
      <c r="A277" s="17">
        <v>275</v>
      </c>
      <c r="B277" s="17">
        <v>3476</v>
      </c>
      <c r="C277" s="24">
        <f t="shared" si="26"/>
        <v>3156.25</v>
      </c>
      <c r="D277" s="24">
        <f t="shared" si="27"/>
        <v>319.75</v>
      </c>
      <c r="E277" s="24">
        <f t="shared" si="28"/>
        <v>4204.25</v>
      </c>
      <c r="F277" s="25">
        <f t="shared" si="29"/>
        <v>12056.982955201234</v>
      </c>
      <c r="G277" s="19"/>
      <c r="H277" s="20">
        <f t="shared" si="24"/>
        <v>3113.0295938797567</v>
      </c>
      <c r="I277" s="20">
        <f t="shared" si="25"/>
        <v>362.9704061202433</v>
      </c>
    </row>
    <row r="278" spans="1:9" ht="15" customHeight="1" x14ac:dyDescent="0.3">
      <c r="A278" s="17">
        <v>276</v>
      </c>
      <c r="B278" s="17">
        <v>3535</v>
      </c>
      <c r="C278" s="23">
        <f t="shared" si="26"/>
        <v>3164.25</v>
      </c>
      <c r="D278" s="23">
        <f t="shared" si="27"/>
        <v>370.75</v>
      </c>
      <c r="E278" s="23">
        <f t="shared" si="28"/>
        <v>4255.25</v>
      </c>
      <c r="F278" s="26">
        <f t="shared" si="29"/>
        <v>12056.982955201234</v>
      </c>
      <c r="G278" s="19"/>
      <c r="H278" s="23">
        <f t="shared" si="24"/>
        <v>3185.6236751038059</v>
      </c>
      <c r="I278" s="23">
        <f t="shared" si="25"/>
        <v>349.37632489619409</v>
      </c>
    </row>
    <row r="279" spans="1:9" ht="15" customHeight="1" x14ac:dyDescent="0.3">
      <c r="A279" s="17">
        <v>277</v>
      </c>
      <c r="B279" s="17">
        <v>2841</v>
      </c>
      <c r="C279" s="24">
        <f t="shared" si="26"/>
        <v>3179.25</v>
      </c>
      <c r="D279" s="24">
        <f t="shared" si="27"/>
        <v>-338.25</v>
      </c>
      <c r="E279" s="24">
        <f t="shared" si="28"/>
        <v>3546.25</v>
      </c>
      <c r="F279" s="25">
        <f t="shared" si="29"/>
        <v>11170.754261199691</v>
      </c>
      <c r="G279" s="19"/>
      <c r="H279" s="20">
        <f t="shared" si="24"/>
        <v>3255.498940083045</v>
      </c>
      <c r="I279" s="20">
        <f t="shared" si="25"/>
        <v>-414.498940083045</v>
      </c>
    </row>
    <row r="280" spans="1:9" ht="15" customHeight="1" x14ac:dyDescent="0.3">
      <c r="A280" s="17">
        <v>278</v>
      </c>
      <c r="B280" s="17">
        <v>2935</v>
      </c>
      <c r="C280" s="23">
        <f t="shared" si="26"/>
        <v>3182.5</v>
      </c>
      <c r="D280" s="23">
        <f t="shared" si="27"/>
        <v>-247.5</v>
      </c>
      <c r="E280" s="23">
        <f t="shared" si="28"/>
        <v>3637</v>
      </c>
      <c r="F280" s="26">
        <f t="shared" si="29"/>
        <v>11533.754261199691</v>
      </c>
      <c r="G280" s="19"/>
      <c r="H280" s="23">
        <f t="shared" si="24"/>
        <v>3172.5991520664365</v>
      </c>
      <c r="I280" s="23">
        <f t="shared" si="25"/>
        <v>-237.59915206643655</v>
      </c>
    </row>
    <row r="281" spans="1:9" ht="15" customHeight="1" x14ac:dyDescent="0.3">
      <c r="A281" s="17">
        <v>279</v>
      </c>
      <c r="B281" s="17">
        <v>3421</v>
      </c>
      <c r="C281" s="24">
        <f t="shared" si="26"/>
        <v>3196.75</v>
      </c>
      <c r="D281" s="24">
        <f t="shared" si="27"/>
        <v>224.25</v>
      </c>
      <c r="E281" s="24">
        <f t="shared" si="28"/>
        <v>4108.75</v>
      </c>
      <c r="F281" s="25">
        <f t="shared" si="29"/>
        <v>12056.982955201234</v>
      </c>
      <c r="G281" s="19"/>
      <c r="H281" s="20">
        <f t="shared" si="24"/>
        <v>3125.0793216531492</v>
      </c>
      <c r="I281" s="20">
        <f t="shared" si="25"/>
        <v>295.92067834685076</v>
      </c>
    </row>
    <row r="282" spans="1:9" ht="15" customHeight="1" x14ac:dyDescent="0.3">
      <c r="A282" s="17">
        <v>280</v>
      </c>
      <c r="B282" s="17">
        <v>3455</v>
      </c>
      <c r="C282" s="23">
        <f t="shared" si="26"/>
        <v>3183</v>
      </c>
      <c r="D282" s="23">
        <f t="shared" si="27"/>
        <v>272</v>
      </c>
      <c r="E282" s="23">
        <f t="shared" si="28"/>
        <v>4156.5</v>
      </c>
      <c r="F282" s="26">
        <f t="shared" si="29"/>
        <v>12056.982955201234</v>
      </c>
      <c r="G282" s="19"/>
      <c r="H282" s="23">
        <f t="shared" si="24"/>
        <v>3184.2634573225196</v>
      </c>
      <c r="I282" s="23">
        <f t="shared" si="25"/>
        <v>270.73654267748043</v>
      </c>
    </row>
    <row r="283" spans="1:9" ht="15" customHeight="1" x14ac:dyDescent="0.3">
      <c r="A283" s="17">
        <v>281</v>
      </c>
      <c r="B283" s="17">
        <v>3503</v>
      </c>
      <c r="C283" s="24">
        <f t="shared" si="26"/>
        <v>3163</v>
      </c>
      <c r="D283" s="24">
        <f t="shared" si="27"/>
        <v>340</v>
      </c>
      <c r="E283" s="24">
        <f t="shared" si="28"/>
        <v>4224.5</v>
      </c>
      <c r="F283" s="25">
        <f t="shared" si="29"/>
        <v>12056.982955201234</v>
      </c>
      <c r="G283" s="19"/>
      <c r="H283" s="20">
        <f t="shared" si="24"/>
        <v>3238.410765858016</v>
      </c>
      <c r="I283" s="20">
        <f t="shared" si="25"/>
        <v>264.58923414198398</v>
      </c>
    </row>
    <row r="284" spans="1:9" ht="15" customHeight="1" x14ac:dyDescent="0.3">
      <c r="A284" s="17">
        <v>282</v>
      </c>
      <c r="B284" s="17">
        <v>3361</v>
      </c>
      <c r="C284" s="23">
        <f t="shared" si="26"/>
        <v>3328.5</v>
      </c>
      <c r="D284" s="23">
        <f t="shared" si="27"/>
        <v>32.5</v>
      </c>
      <c r="E284" s="23">
        <f t="shared" si="28"/>
        <v>3917</v>
      </c>
      <c r="F284" s="26">
        <f t="shared" si="29"/>
        <v>12056.982955201234</v>
      </c>
      <c r="G284" s="19"/>
      <c r="H284" s="23">
        <f t="shared" si="24"/>
        <v>3291.3286126864127</v>
      </c>
      <c r="I284" s="23">
        <f t="shared" si="25"/>
        <v>69.671387313587275</v>
      </c>
    </row>
    <row r="285" spans="1:9" ht="15" customHeight="1" x14ac:dyDescent="0.3">
      <c r="A285" s="17">
        <v>283</v>
      </c>
      <c r="B285" s="17">
        <v>3119</v>
      </c>
      <c r="C285" s="24">
        <f t="shared" si="26"/>
        <v>3435</v>
      </c>
      <c r="D285" s="24">
        <f t="shared" si="27"/>
        <v>-316</v>
      </c>
      <c r="E285" s="24">
        <f t="shared" si="28"/>
        <v>3568.5</v>
      </c>
      <c r="F285" s="25">
        <f t="shared" si="29"/>
        <v>11259.754261199691</v>
      </c>
      <c r="G285" s="19"/>
      <c r="H285" s="20">
        <f t="shared" si="24"/>
        <v>3305.2628901491307</v>
      </c>
      <c r="I285" s="20">
        <f t="shared" si="25"/>
        <v>-186.26289014913073</v>
      </c>
    </row>
    <row r="286" spans="1:9" ht="15" customHeight="1" x14ac:dyDescent="0.3">
      <c r="A286" s="17">
        <v>284</v>
      </c>
      <c r="B286" s="17">
        <v>3378</v>
      </c>
      <c r="C286" s="23">
        <f t="shared" si="26"/>
        <v>3359.5</v>
      </c>
      <c r="D286" s="23">
        <f t="shared" si="27"/>
        <v>18.5</v>
      </c>
      <c r="E286" s="23">
        <f t="shared" si="28"/>
        <v>3903</v>
      </c>
      <c r="F286" s="26">
        <f t="shared" si="29"/>
        <v>12056.982955201234</v>
      </c>
      <c r="G286" s="19"/>
      <c r="H286" s="23">
        <f t="shared" si="24"/>
        <v>3268.0103121193051</v>
      </c>
      <c r="I286" s="23">
        <f t="shared" si="25"/>
        <v>109.98968788069487</v>
      </c>
    </row>
    <row r="287" spans="1:9" ht="15" customHeight="1" x14ac:dyDescent="0.3">
      <c r="A287" s="17">
        <v>285</v>
      </c>
      <c r="B287" s="17">
        <v>2850</v>
      </c>
      <c r="C287" s="24">
        <f t="shared" si="26"/>
        <v>3340.25</v>
      </c>
      <c r="D287" s="24">
        <f t="shared" si="27"/>
        <v>-490.25</v>
      </c>
      <c r="E287" s="24">
        <f t="shared" si="28"/>
        <v>3394.25</v>
      </c>
      <c r="F287" s="25">
        <f t="shared" si="29"/>
        <v>10562.754261199691</v>
      </c>
      <c r="G287" s="19"/>
      <c r="H287" s="20">
        <f t="shared" si="24"/>
        <v>3290.0082496954442</v>
      </c>
      <c r="I287" s="20">
        <f t="shared" si="25"/>
        <v>-440.00824969544419</v>
      </c>
    </row>
    <row r="288" spans="1:9" ht="15" customHeight="1" x14ac:dyDescent="0.3">
      <c r="A288" s="17">
        <v>286</v>
      </c>
      <c r="B288" s="17">
        <v>3256</v>
      </c>
      <c r="C288" s="23">
        <f t="shared" si="26"/>
        <v>3177</v>
      </c>
      <c r="D288" s="23">
        <f t="shared" si="27"/>
        <v>79</v>
      </c>
      <c r="E288" s="23">
        <f t="shared" si="28"/>
        <v>3963.5</v>
      </c>
      <c r="F288" s="26">
        <f t="shared" si="29"/>
        <v>12056.982955201234</v>
      </c>
      <c r="G288" s="19"/>
      <c r="H288" s="23">
        <f t="shared" si="24"/>
        <v>3202.0065997563556</v>
      </c>
      <c r="I288" s="23">
        <f t="shared" si="25"/>
        <v>53.993400243644373</v>
      </c>
    </row>
    <row r="289" spans="1:9" ht="15" customHeight="1" x14ac:dyDescent="0.3">
      <c r="A289" s="17">
        <v>287</v>
      </c>
      <c r="B289" s="17">
        <v>2745</v>
      </c>
      <c r="C289" s="24">
        <f t="shared" si="26"/>
        <v>3150.75</v>
      </c>
      <c r="D289" s="24">
        <f t="shared" si="27"/>
        <v>-405.75</v>
      </c>
      <c r="E289" s="24">
        <f t="shared" si="28"/>
        <v>3478.75</v>
      </c>
      <c r="F289" s="25">
        <f t="shared" si="29"/>
        <v>10900.754261199691</v>
      </c>
      <c r="G289" s="19"/>
      <c r="H289" s="20">
        <f t="shared" si="24"/>
        <v>3212.8052798050849</v>
      </c>
      <c r="I289" s="20">
        <f t="shared" si="25"/>
        <v>-467.80527980508487</v>
      </c>
    </row>
    <row r="290" spans="1:9" ht="15" customHeight="1" x14ac:dyDescent="0.3">
      <c r="A290" s="17">
        <v>288</v>
      </c>
      <c r="B290" s="17">
        <v>3545</v>
      </c>
      <c r="C290" s="23">
        <f t="shared" si="26"/>
        <v>3057.25</v>
      </c>
      <c r="D290" s="23">
        <f t="shared" si="27"/>
        <v>487.75</v>
      </c>
      <c r="E290" s="23">
        <f t="shared" si="28"/>
        <v>4372.25</v>
      </c>
      <c r="F290" s="26">
        <f t="shared" si="29"/>
        <v>12056.982955201234</v>
      </c>
      <c r="G290" s="19"/>
      <c r="H290" s="23">
        <f t="shared" si="24"/>
        <v>3119.2442238440681</v>
      </c>
      <c r="I290" s="23">
        <f t="shared" si="25"/>
        <v>425.75577615593193</v>
      </c>
    </row>
    <row r="291" spans="1:9" ht="15" customHeight="1" x14ac:dyDescent="0.3">
      <c r="A291" s="17">
        <v>289</v>
      </c>
      <c r="B291" s="17">
        <v>2848</v>
      </c>
      <c r="C291" s="24">
        <f t="shared" si="26"/>
        <v>3099</v>
      </c>
      <c r="D291" s="24">
        <f t="shared" si="27"/>
        <v>-251</v>
      </c>
      <c r="E291" s="24">
        <f t="shared" si="28"/>
        <v>3633.5</v>
      </c>
      <c r="F291" s="25">
        <f t="shared" si="29"/>
        <v>11519.754261199691</v>
      </c>
      <c r="G291" s="19"/>
      <c r="H291" s="20">
        <f t="shared" si="24"/>
        <v>3204.3953790752548</v>
      </c>
      <c r="I291" s="20">
        <f t="shared" si="25"/>
        <v>-356.39537907525482</v>
      </c>
    </row>
    <row r="292" spans="1:9" ht="15" customHeight="1" x14ac:dyDescent="0.3">
      <c r="A292" s="17">
        <v>290</v>
      </c>
      <c r="B292" s="17">
        <v>3145</v>
      </c>
      <c r="C292" s="23">
        <f t="shared" si="26"/>
        <v>3098.5</v>
      </c>
      <c r="D292" s="23">
        <f t="shared" si="27"/>
        <v>46.5</v>
      </c>
      <c r="E292" s="23">
        <f t="shared" si="28"/>
        <v>3931</v>
      </c>
      <c r="F292" s="26">
        <f t="shared" si="29"/>
        <v>12056.982955201234</v>
      </c>
      <c r="G292" s="19"/>
      <c r="H292" s="23">
        <f t="shared" si="24"/>
        <v>3133.1163032602039</v>
      </c>
      <c r="I292" s="23">
        <f t="shared" si="25"/>
        <v>11.883696739796051</v>
      </c>
    </row>
    <row r="293" spans="1:9" ht="15" customHeight="1" x14ac:dyDescent="0.3">
      <c r="A293" s="17">
        <v>291</v>
      </c>
      <c r="B293" s="17">
        <v>3484</v>
      </c>
      <c r="C293" s="24">
        <f t="shared" si="26"/>
        <v>3070.75</v>
      </c>
      <c r="D293" s="24">
        <f t="shared" si="27"/>
        <v>413.25</v>
      </c>
      <c r="E293" s="24">
        <f t="shared" si="28"/>
        <v>4297.75</v>
      </c>
      <c r="F293" s="25">
        <f t="shared" si="29"/>
        <v>12056.982955201234</v>
      </c>
      <c r="G293" s="19"/>
      <c r="H293" s="20">
        <f t="shared" si="24"/>
        <v>3135.4930426081633</v>
      </c>
      <c r="I293" s="20">
        <f t="shared" si="25"/>
        <v>348.50695739183675</v>
      </c>
    </row>
    <row r="294" spans="1:9" ht="15" customHeight="1" x14ac:dyDescent="0.3">
      <c r="A294" s="17">
        <v>292</v>
      </c>
      <c r="B294" s="17">
        <v>3305</v>
      </c>
      <c r="C294" s="23">
        <f t="shared" si="26"/>
        <v>3255.5</v>
      </c>
      <c r="D294" s="23">
        <f t="shared" si="27"/>
        <v>49.5</v>
      </c>
      <c r="E294" s="23">
        <f t="shared" si="28"/>
        <v>3934</v>
      </c>
      <c r="F294" s="26">
        <f t="shared" si="29"/>
        <v>12056.982955201234</v>
      </c>
      <c r="G294" s="19"/>
      <c r="H294" s="23">
        <f t="shared" si="24"/>
        <v>3205.1944340865311</v>
      </c>
      <c r="I294" s="23">
        <f t="shared" si="25"/>
        <v>99.805565913468854</v>
      </c>
    </row>
    <row r="295" spans="1:9" ht="15" customHeight="1" x14ac:dyDescent="0.3">
      <c r="A295" s="17">
        <v>293</v>
      </c>
      <c r="B295" s="17">
        <v>3442</v>
      </c>
      <c r="C295" s="24">
        <f t="shared" si="26"/>
        <v>3195.5</v>
      </c>
      <c r="D295" s="24">
        <f t="shared" si="27"/>
        <v>246.5</v>
      </c>
      <c r="E295" s="24">
        <f t="shared" si="28"/>
        <v>4131</v>
      </c>
      <c r="F295" s="25">
        <f t="shared" si="29"/>
        <v>12056.982955201234</v>
      </c>
      <c r="G295" s="19"/>
      <c r="H295" s="20">
        <f t="shared" si="24"/>
        <v>3225.1555472692253</v>
      </c>
      <c r="I295" s="20">
        <f t="shared" si="25"/>
        <v>216.84445273077472</v>
      </c>
    </row>
    <row r="296" spans="1:9" ht="15" customHeight="1" x14ac:dyDescent="0.3">
      <c r="A296" s="17">
        <v>294</v>
      </c>
      <c r="B296" s="17">
        <v>3156</v>
      </c>
      <c r="C296" s="23">
        <f t="shared" si="26"/>
        <v>3344</v>
      </c>
      <c r="D296" s="23">
        <f t="shared" si="27"/>
        <v>-188</v>
      </c>
      <c r="E296" s="23">
        <f t="shared" si="28"/>
        <v>3696.5</v>
      </c>
      <c r="F296" s="26">
        <f t="shared" si="29"/>
        <v>11771.754261199691</v>
      </c>
      <c r="G296" s="19"/>
      <c r="H296" s="23">
        <f t="shared" si="24"/>
        <v>3268.5244378153807</v>
      </c>
      <c r="I296" s="23">
        <f t="shared" si="25"/>
        <v>-112.52443781538068</v>
      </c>
    </row>
    <row r="297" spans="1:9" ht="15" customHeight="1" x14ac:dyDescent="0.3">
      <c r="A297" s="17">
        <v>295</v>
      </c>
      <c r="B297" s="17">
        <v>3190</v>
      </c>
      <c r="C297" s="24">
        <f t="shared" si="26"/>
        <v>3346.75</v>
      </c>
      <c r="D297" s="24">
        <f t="shared" si="27"/>
        <v>-156.75</v>
      </c>
      <c r="E297" s="24">
        <f t="shared" si="28"/>
        <v>3727.75</v>
      </c>
      <c r="F297" s="25">
        <f t="shared" si="29"/>
        <v>11896.754261199691</v>
      </c>
      <c r="G297" s="19"/>
      <c r="H297" s="20">
        <f t="shared" si="24"/>
        <v>3246.0195502523047</v>
      </c>
      <c r="I297" s="20">
        <f t="shared" si="25"/>
        <v>-56.019550252304725</v>
      </c>
    </row>
    <row r="298" spans="1:9" ht="15" customHeight="1" x14ac:dyDescent="0.3">
      <c r="A298" s="17">
        <v>296</v>
      </c>
      <c r="B298" s="17">
        <v>3368</v>
      </c>
      <c r="C298" s="23">
        <f t="shared" si="26"/>
        <v>3273.25</v>
      </c>
      <c r="D298" s="23">
        <f t="shared" si="27"/>
        <v>94.75</v>
      </c>
      <c r="E298" s="23">
        <f t="shared" si="28"/>
        <v>3979.25</v>
      </c>
      <c r="F298" s="26">
        <f t="shared" si="29"/>
        <v>12056.982955201234</v>
      </c>
      <c r="G298" s="19"/>
      <c r="H298" s="23">
        <f t="shared" si="24"/>
        <v>3234.815640201844</v>
      </c>
      <c r="I298" s="23">
        <f t="shared" si="25"/>
        <v>133.18435979815604</v>
      </c>
    </row>
    <row r="299" spans="1:9" ht="15" customHeight="1" x14ac:dyDescent="0.3">
      <c r="A299" s="17">
        <v>297</v>
      </c>
      <c r="B299" s="17">
        <v>3573</v>
      </c>
      <c r="C299" s="24">
        <f t="shared" si="26"/>
        <v>3289</v>
      </c>
      <c r="D299" s="24">
        <f t="shared" si="27"/>
        <v>284</v>
      </c>
      <c r="E299" s="24">
        <f t="shared" si="28"/>
        <v>4168.5</v>
      </c>
      <c r="F299" s="25">
        <f t="shared" si="29"/>
        <v>12056.982955201234</v>
      </c>
      <c r="G299" s="19"/>
      <c r="H299" s="20">
        <f t="shared" si="24"/>
        <v>3261.4525121614752</v>
      </c>
      <c r="I299" s="20">
        <f t="shared" si="25"/>
        <v>311.54748783852483</v>
      </c>
    </row>
    <row r="300" spans="1:9" ht="15" customHeight="1" x14ac:dyDescent="0.3">
      <c r="A300" s="17">
        <v>298</v>
      </c>
      <c r="B300" s="17">
        <v>3666</v>
      </c>
      <c r="C300" s="23">
        <f t="shared" si="26"/>
        <v>3321.75</v>
      </c>
      <c r="D300" s="23">
        <f t="shared" si="27"/>
        <v>344.25</v>
      </c>
      <c r="E300" s="23">
        <f t="shared" si="28"/>
        <v>4228.75</v>
      </c>
      <c r="F300" s="26">
        <f t="shared" si="29"/>
        <v>12056.982955201234</v>
      </c>
      <c r="G300" s="19"/>
      <c r="H300" s="23">
        <f t="shared" si="24"/>
        <v>3323.7620097291801</v>
      </c>
      <c r="I300" s="23">
        <f t="shared" si="25"/>
        <v>342.23799027081986</v>
      </c>
    </row>
    <row r="301" spans="1:9" ht="15" customHeight="1" x14ac:dyDescent="0.3">
      <c r="A301" s="17">
        <v>299</v>
      </c>
      <c r="B301" s="17">
        <v>2830</v>
      </c>
      <c r="C301" s="24">
        <f t="shared" si="26"/>
        <v>3449.25</v>
      </c>
      <c r="D301" s="24">
        <f t="shared" si="27"/>
        <v>-619.25</v>
      </c>
      <c r="E301" s="24">
        <f t="shared" si="28"/>
        <v>3265.25</v>
      </c>
      <c r="F301" s="25">
        <f t="shared" si="29"/>
        <v>10046.754261199691</v>
      </c>
      <c r="G301" s="19"/>
      <c r="H301" s="20">
        <f t="shared" si="24"/>
        <v>3392.2096077833439</v>
      </c>
      <c r="I301" s="20">
        <f t="shared" si="25"/>
        <v>-562.20960778334393</v>
      </c>
    </row>
    <row r="302" spans="1:9" ht="15" customHeight="1" x14ac:dyDescent="0.3">
      <c r="A302" s="17">
        <v>300</v>
      </c>
      <c r="B302" s="17">
        <v>3643</v>
      </c>
      <c r="C302" s="23">
        <f t="shared" si="26"/>
        <v>3359.25</v>
      </c>
      <c r="D302" s="23">
        <f t="shared" si="27"/>
        <v>283.75</v>
      </c>
      <c r="E302" s="23">
        <f t="shared" si="28"/>
        <v>4168.25</v>
      </c>
      <c r="F302" s="26">
        <f t="shared" si="29"/>
        <v>12056.982955201234</v>
      </c>
      <c r="G302" s="19"/>
      <c r="H302" s="23">
        <f t="shared" si="24"/>
        <v>3279.7676862266753</v>
      </c>
      <c r="I302" s="23">
        <f t="shared" si="25"/>
        <v>363.23231377332468</v>
      </c>
    </row>
    <row r="303" spans="1:9" ht="15" customHeight="1" x14ac:dyDescent="0.3">
      <c r="A303" s="17">
        <v>301</v>
      </c>
      <c r="B303" s="17">
        <v>2733</v>
      </c>
      <c r="C303" s="24">
        <f t="shared" si="26"/>
        <v>3428</v>
      </c>
      <c r="D303" s="24">
        <f t="shared" si="27"/>
        <v>-695</v>
      </c>
      <c r="E303" s="24">
        <f t="shared" si="28"/>
        <v>3189.5</v>
      </c>
      <c r="F303" s="25">
        <f t="shared" si="29"/>
        <v>9743.7542611996905</v>
      </c>
      <c r="G303" s="19"/>
      <c r="H303" s="20">
        <f t="shared" si="24"/>
        <v>3352.4141489813405</v>
      </c>
      <c r="I303" s="20">
        <f t="shared" si="25"/>
        <v>-619.41414898134053</v>
      </c>
    </row>
    <row r="304" spans="1:9" ht="15" customHeight="1" x14ac:dyDescent="0.3">
      <c r="A304" s="17">
        <v>302</v>
      </c>
      <c r="B304" s="17">
        <v>2948</v>
      </c>
      <c r="C304" s="23">
        <f t="shared" si="26"/>
        <v>3218</v>
      </c>
      <c r="D304" s="23">
        <f t="shared" si="27"/>
        <v>-270</v>
      </c>
      <c r="E304" s="23">
        <f t="shared" si="28"/>
        <v>3614.5</v>
      </c>
      <c r="F304" s="26">
        <f t="shared" si="29"/>
        <v>11443.754261199691</v>
      </c>
      <c r="G304" s="19"/>
      <c r="H304" s="23">
        <f t="shared" si="24"/>
        <v>3228.5313191850723</v>
      </c>
      <c r="I304" s="23">
        <f t="shared" si="25"/>
        <v>-280.53131918507233</v>
      </c>
    </row>
    <row r="305" spans="1:9" ht="15" customHeight="1" x14ac:dyDescent="0.3">
      <c r="A305" s="17">
        <v>303</v>
      </c>
      <c r="B305" s="17">
        <v>3648</v>
      </c>
      <c r="C305" s="24">
        <f t="shared" si="26"/>
        <v>3038.5</v>
      </c>
      <c r="D305" s="24">
        <f t="shared" si="27"/>
        <v>609.5</v>
      </c>
      <c r="E305" s="24">
        <f t="shared" si="28"/>
        <v>4494</v>
      </c>
      <c r="F305" s="25">
        <f t="shared" si="29"/>
        <v>12056.982955201234</v>
      </c>
      <c r="G305" s="19"/>
      <c r="H305" s="20">
        <f t="shared" si="24"/>
        <v>3172.4250553480579</v>
      </c>
      <c r="I305" s="20">
        <f t="shared" si="25"/>
        <v>475.57494465194213</v>
      </c>
    </row>
    <row r="306" spans="1:9" ht="15" customHeight="1" x14ac:dyDescent="0.3">
      <c r="A306" s="17">
        <v>304</v>
      </c>
      <c r="B306" s="17">
        <v>3587</v>
      </c>
      <c r="C306" s="23">
        <f t="shared" si="26"/>
        <v>3243</v>
      </c>
      <c r="D306" s="23">
        <f t="shared" si="27"/>
        <v>344</v>
      </c>
      <c r="E306" s="23">
        <f t="shared" si="28"/>
        <v>4228.5</v>
      </c>
      <c r="F306" s="26">
        <f t="shared" si="29"/>
        <v>12056.982955201234</v>
      </c>
      <c r="G306" s="19"/>
      <c r="H306" s="23">
        <f t="shared" si="24"/>
        <v>3267.5400442784462</v>
      </c>
      <c r="I306" s="23">
        <f t="shared" si="25"/>
        <v>319.4599557215538</v>
      </c>
    </row>
    <row r="307" spans="1:9" ht="15" customHeight="1" x14ac:dyDescent="0.3">
      <c r="A307" s="17">
        <v>305</v>
      </c>
      <c r="B307" s="17">
        <v>3119</v>
      </c>
      <c r="C307" s="24">
        <f t="shared" si="26"/>
        <v>3229</v>
      </c>
      <c r="D307" s="24">
        <f t="shared" si="27"/>
        <v>-110</v>
      </c>
      <c r="E307" s="24">
        <f t="shared" si="28"/>
        <v>3774.5</v>
      </c>
      <c r="F307" s="25">
        <f t="shared" si="29"/>
        <v>12056.982955201234</v>
      </c>
      <c r="G307" s="19"/>
      <c r="H307" s="20">
        <f t="shared" si="24"/>
        <v>3331.4320354227571</v>
      </c>
      <c r="I307" s="20">
        <f t="shared" si="25"/>
        <v>-212.43203542275705</v>
      </c>
    </row>
    <row r="308" spans="1:9" ht="15" customHeight="1" x14ac:dyDescent="0.3">
      <c r="A308" s="17">
        <v>306</v>
      </c>
      <c r="B308" s="17">
        <v>3356</v>
      </c>
      <c r="C308" s="23">
        <f t="shared" si="26"/>
        <v>3325.5</v>
      </c>
      <c r="D308" s="23">
        <f t="shared" si="27"/>
        <v>30.5</v>
      </c>
      <c r="E308" s="23">
        <f t="shared" si="28"/>
        <v>3915</v>
      </c>
      <c r="F308" s="26">
        <f t="shared" si="29"/>
        <v>12056.982955201234</v>
      </c>
      <c r="G308" s="19"/>
      <c r="H308" s="23">
        <f t="shared" si="24"/>
        <v>3288.945628338206</v>
      </c>
      <c r="I308" s="23">
        <f t="shared" si="25"/>
        <v>67.054371661793994</v>
      </c>
    </row>
    <row r="309" spans="1:9" ht="15" customHeight="1" x14ac:dyDescent="0.3">
      <c r="A309" s="17">
        <v>307</v>
      </c>
      <c r="B309" s="17">
        <v>3402</v>
      </c>
      <c r="C309" s="24">
        <f t="shared" si="26"/>
        <v>3427.5</v>
      </c>
      <c r="D309" s="24">
        <f t="shared" si="27"/>
        <v>-25.5</v>
      </c>
      <c r="E309" s="24">
        <f t="shared" si="28"/>
        <v>3859</v>
      </c>
      <c r="F309" s="25">
        <f t="shared" si="29"/>
        <v>12056.982955201234</v>
      </c>
      <c r="G309" s="19"/>
      <c r="H309" s="20">
        <f t="shared" si="24"/>
        <v>3302.3565026705646</v>
      </c>
      <c r="I309" s="20">
        <f t="shared" si="25"/>
        <v>99.643497329435377</v>
      </c>
    </row>
    <row r="310" spans="1:9" ht="15" customHeight="1" x14ac:dyDescent="0.3">
      <c r="A310" s="17">
        <v>308</v>
      </c>
      <c r="B310" s="17">
        <v>3516</v>
      </c>
      <c r="C310" s="23">
        <f t="shared" si="26"/>
        <v>3366</v>
      </c>
      <c r="D310" s="23">
        <f t="shared" si="27"/>
        <v>150</v>
      </c>
      <c r="E310" s="23">
        <f t="shared" si="28"/>
        <v>4034.5</v>
      </c>
      <c r="F310" s="26">
        <f t="shared" si="29"/>
        <v>12056.982955201234</v>
      </c>
      <c r="G310" s="19"/>
      <c r="H310" s="23">
        <f t="shared" si="24"/>
        <v>3322.285202136452</v>
      </c>
      <c r="I310" s="23">
        <f t="shared" si="25"/>
        <v>193.71479786354803</v>
      </c>
    </row>
    <row r="311" spans="1:9" ht="15" customHeight="1" x14ac:dyDescent="0.3">
      <c r="A311" s="17">
        <v>309</v>
      </c>
      <c r="B311" s="17">
        <v>3132</v>
      </c>
      <c r="C311" s="24">
        <f t="shared" si="26"/>
        <v>3348.25</v>
      </c>
      <c r="D311" s="24">
        <f t="shared" si="27"/>
        <v>-216.25</v>
      </c>
      <c r="E311" s="24">
        <f t="shared" si="28"/>
        <v>3668.25</v>
      </c>
      <c r="F311" s="25">
        <f t="shared" si="29"/>
        <v>11658.754261199691</v>
      </c>
      <c r="G311" s="19"/>
      <c r="H311" s="20">
        <f t="shared" si="24"/>
        <v>3361.0281617091614</v>
      </c>
      <c r="I311" s="20">
        <f t="shared" si="25"/>
        <v>-229.0281617091614</v>
      </c>
    </row>
    <row r="312" spans="1:9" ht="15" customHeight="1" x14ac:dyDescent="0.3">
      <c r="A312" s="17">
        <v>310</v>
      </c>
      <c r="B312" s="17">
        <v>2821</v>
      </c>
      <c r="C312" s="23">
        <f t="shared" si="26"/>
        <v>3351.5</v>
      </c>
      <c r="D312" s="23">
        <f t="shared" si="27"/>
        <v>-530.5</v>
      </c>
      <c r="E312" s="23">
        <f t="shared" si="28"/>
        <v>3354</v>
      </c>
      <c r="F312" s="26">
        <f t="shared" si="29"/>
        <v>10401.754261199691</v>
      </c>
      <c r="G312" s="19"/>
      <c r="H312" s="23">
        <f t="shared" si="24"/>
        <v>3315.2225293673296</v>
      </c>
      <c r="I312" s="23">
        <f t="shared" si="25"/>
        <v>-494.22252936732957</v>
      </c>
    </row>
    <row r="313" spans="1:9" ht="15" customHeight="1" x14ac:dyDescent="0.3">
      <c r="A313" s="17">
        <v>311</v>
      </c>
      <c r="B313" s="17">
        <v>3465</v>
      </c>
      <c r="C313" s="24">
        <f t="shared" si="26"/>
        <v>3217.75</v>
      </c>
      <c r="D313" s="24">
        <f t="shared" si="27"/>
        <v>247.25</v>
      </c>
      <c r="E313" s="24">
        <f t="shared" si="28"/>
        <v>4131.75</v>
      </c>
      <c r="F313" s="25">
        <f t="shared" si="29"/>
        <v>12056.982955201234</v>
      </c>
      <c r="G313" s="19"/>
      <c r="H313" s="20">
        <f t="shared" si="24"/>
        <v>3216.378023493864</v>
      </c>
      <c r="I313" s="20">
        <f t="shared" si="25"/>
        <v>248.62197650613598</v>
      </c>
    </row>
    <row r="314" spans="1:9" ht="15" customHeight="1" x14ac:dyDescent="0.3">
      <c r="A314" s="17">
        <v>312</v>
      </c>
      <c r="B314" s="17">
        <v>2926</v>
      </c>
      <c r="C314" s="23">
        <f t="shared" si="26"/>
        <v>3233.5</v>
      </c>
      <c r="D314" s="23">
        <f t="shared" si="27"/>
        <v>-307.5</v>
      </c>
      <c r="E314" s="23">
        <f t="shared" si="28"/>
        <v>3577</v>
      </c>
      <c r="F314" s="26">
        <f t="shared" si="29"/>
        <v>11293.754261199691</v>
      </c>
      <c r="G314" s="19"/>
      <c r="H314" s="23">
        <f t="shared" si="24"/>
        <v>3266.1024187950916</v>
      </c>
      <c r="I314" s="23">
        <f t="shared" si="25"/>
        <v>-340.10241879509158</v>
      </c>
    </row>
    <row r="315" spans="1:9" ht="15" customHeight="1" x14ac:dyDescent="0.3">
      <c r="A315" s="17">
        <v>313</v>
      </c>
      <c r="B315" s="17">
        <v>3728</v>
      </c>
      <c r="C315" s="24">
        <f t="shared" si="26"/>
        <v>3086</v>
      </c>
      <c r="D315" s="24">
        <f t="shared" si="27"/>
        <v>642</v>
      </c>
      <c r="E315" s="24">
        <f t="shared" si="28"/>
        <v>4526.5</v>
      </c>
      <c r="F315" s="25">
        <f t="shared" si="29"/>
        <v>12056.982955201234</v>
      </c>
      <c r="G315" s="19"/>
      <c r="H315" s="20">
        <f t="shared" si="24"/>
        <v>3198.0819350360734</v>
      </c>
      <c r="I315" s="20">
        <f t="shared" si="25"/>
        <v>529.91806496392655</v>
      </c>
    </row>
    <row r="316" spans="1:9" ht="15" customHeight="1" x14ac:dyDescent="0.3">
      <c r="A316" s="17">
        <v>314</v>
      </c>
      <c r="B316" s="17">
        <v>3592</v>
      </c>
      <c r="C316" s="23">
        <f t="shared" si="26"/>
        <v>3235</v>
      </c>
      <c r="D316" s="23">
        <f t="shared" si="27"/>
        <v>357</v>
      </c>
      <c r="E316" s="23">
        <f t="shared" si="28"/>
        <v>4241.5</v>
      </c>
      <c r="F316" s="26">
        <f t="shared" si="29"/>
        <v>12056.982955201234</v>
      </c>
      <c r="G316" s="19"/>
      <c r="H316" s="23">
        <f t="shared" si="24"/>
        <v>3304.0655480288588</v>
      </c>
      <c r="I316" s="23">
        <f t="shared" si="25"/>
        <v>287.93445197114124</v>
      </c>
    </row>
    <row r="317" spans="1:9" ht="15" customHeight="1" x14ac:dyDescent="0.3">
      <c r="A317" s="17">
        <v>315</v>
      </c>
      <c r="B317" s="17">
        <v>3180</v>
      </c>
      <c r="C317" s="24">
        <f t="shared" si="26"/>
        <v>3427.75</v>
      </c>
      <c r="D317" s="24">
        <f t="shared" si="27"/>
        <v>-247.75</v>
      </c>
      <c r="E317" s="24">
        <f t="shared" si="28"/>
        <v>3636.75</v>
      </c>
      <c r="F317" s="25">
        <f t="shared" si="29"/>
        <v>11532.754261199691</v>
      </c>
      <c r="G317" s="19"/>
      <c r="H317" s="20">
        <f t="shared" si="24"/>
        <v>3361.6524384230875</v>
      </c>
      <c r="I317" s="20">
        <f t="shared" si="25"/>
        <v>-181.65243842308746</v>
      </c>
    </row>
    <row r="318" spans="1:9" ht="15" customHeight="1" x14ac:dyDescent="0.3">
      <c r="A318" s="17">
        <v>316</v>
      </c>
      <c r="B318" s="17">
        <v>3630</v>
      </c>
      <c r="C318" s="23">
        <f t="shared" si="26"/>
        <v>3356.5</v>
      </c>
      <c r="D318" s="23">
        <f t="shared" si="27"/>
        <v>273.5</v>
      </c>
      <c r="E318" s="23">
        <f t="shared" si="28"/>
        <v>4158</v>
      </c>
      <c r="F318" s="26">
        <f t="shared" si="29"/>
        <v>12056.982955201234</v>
      </c>
      <c r="G318" s="19"/>
      <c r="H318" s="23">
        <f t="shared" si="24"/>
        <v>3325.3219507384702</v>
      </c>
      <c r="I318" s="23">
        <f t="shared" si="25"/>
        <v>304.67804926152985</v>
      </c>
    </row>
    <row r="319" spans="1:9" ht="15" customHeight="1" x14ac:dyDescent="0.3">
      <c r="A319" s="17">
        <v>317</v>
      </c>
      <c r="B319" s="17">
        <v>3207</v>
      </c>
      <c r="C319" s="24">
        <f t="shared" si="26"/>
        <v>3532.5</v>
      </c>
      <c r="D319" s="24">
        <f t="shared" si="27"/>
        <v>-325.5</v>
      </c>
      <c r="E319" s="24">
        <f t="shared" si="28"/>
        <v>3559</v>
      </c>
      <c r="F319" s="25">
        <f t="shared" si="29"/>
        <v>11221.754261199691</v>
      </c>
      <c r="G319" s="19"/>
      <c r="H319" s="20">
        <f t="shared" si="24"/>
        <v>3386.2575605907764</v>
      </c>
      <c r="I319" s="20">
        <f t="shared" si="25"/>
        <v>-179.25756059077639</v>
      </c>
    </row>
    <row r="320" spans="1:9" ht="15" customHeight="1" x14ac:dyDescent="0.3">
      <c r="A320" s="17">
        <v>318</v>
      </c>
      <c r="B320" s="17">
        <v>3622</v>
      </c>
      <c r="C320" s="23">
        <f t="shared" si="26"/>
        <v>3402.25</v>
      </c>
      <c r="D320" s="23">
        <f t="shared" si="27"/>
        <v>219.75</v>
      </c>
      <c r="E320" s="23">
        <f t="shared" si="28"/>
        <v>4104.25</v>
      </c>
      <c r="F320" s="26">
        <f t="shared" si="29"/>
        <v>12056.982955201234</v>
      </c>
      <c r="G320" s="19"/>
      <c r="H320" s="23">
        <f t="shared" si="24"/>
        <v>3350.4060484726215</v>
      </c>
      <c r="I320" s="23">
        <f t="shared" si="25"/>
        <v>271.59395152737852</v>
      </c>
    </row>
    <row r="321" spans="1:9" ht="15" customHeight="1" x14ac:dyDescent="0.3">
      <c r="A321" s="17">
        <v>319</v>
      </c>
      <c r="B321" s="17">
        <v>2961</v>
      </c>
      <c r="C321" s="24">
        <f t="shared" si="26"/>
        <v>3409.75</v>
      </c>
      <c r="D321" s="24">
        <f t="shared" si="27"/>
        <v>-448.75</v>
      </c>
      <c r="E321" s="24">
        <f t="shared" si="28"/>
        <v>3435.75</v>
      </c>
      <c r="F321" s="25">
        <f t="shared" si="29"/>
        <v>10728.754261199691</v>
      </c>
      <c r="G321" s="19"/>
      <c r="H321" s="20">
        <f t="shared" si="24"/>
        <v>3404.7248387780974</v>
      </c>
      <c r="I321" s="20">
        <f t="shared" si="25"/>
        <v>-443.72483877809736</v>
      </c>
    </row>
    <row r="322" spans="1:9" ht="15" customHeight="1" x14ac:dyDescent="0.3">
      <c r="A322" s="17">
        <v>320</v>
      </c>
      <c r="B322" s="17">
        <v>3109</v>
      </c>
      <c r="C322" s="23">
        <f t="shared" si="26"/>
        <v>3355</v>
      </c>
      <c r="D322" s="23">
        <f t="shared" si="27"/>
        <v>-246</v>
      </c>
      <c r="E322" s="23">
        <f t="shared" si="28"/>
        <v>3638.5</v>
      </c>
      <c r="F322" s="26">
        <f t="shared" si="29"/>
        <v>11539.754261199691</v>
      </c>
      <c r="G322" s="19"/>
      <c r="H322" s="23">
        <f t="shared" si="24"/>
        <v>3315.9798710224777</v>
      </c>
      <c r="I322" s="23">
        <f t="shared" si="25"/>
        <v>-206.97987102247771</v>
      </c>
    </row>
    <row r="323" spans="1:9" ht="15" customHeight="1" x14ac:dyDescent="0.3">
      <c r="A323" s="17">
        <v>321</v>
      </c>
      <c r="B323" s="17">
        <v>3167</v>
      </c>
      <c r="C323" s="24">
        <f t="shared" si="26"/>
        <v>3224.75</v>
      </c>
      <c r="D323" s="24">
        <f t="shared" si="27"/>
        <v>-57.75</v>
      </c>
      <c r="E323" s="24">
        <f t="shared" si="28"/>
        <v>3826.75</v>
      </c>
      <c r="F323" s="25">
        <f t="shared" si="29"/>
        <v>12056.982955201234</v>
      </c>
      <c r="G323" s="19"/>
      <c r="H323" s="20">
        <f t="shared" si="24"/>
        <v>3274.5838968179823</v>
      </c>
      <c r="I323" s="20">
        <f t="shared" si="25"/>
        <v>-107.58389681798235</v>
      </c>
    </row>
    <row r="324" spans="1:9" ht="15" customHeight="1" x14ac:dyDescent="0.3">
      <c r="A324" s="17">
        <v>322</v>
      </c>
      <c r="B324" s="17">
        <v>3035</v>
      </c>
      <c r="C324" s="23">
        <f t="shared" si="26"/>
        <v>3214.75</v>
      </c>
      <c r="D324" s="23">
        <f t="shared" si="27"/>
        <v>-179.75</v>
      </c>
      <c r="E324" s="23">
        <f t="shared" si="28"/>
        <v>3704.75</v>
      </c>
      <c r="F324" s="26">
        <f t="shared" si="29"/>
        <v>11804.754261199691</v>
      </c>
      <c r="G324" s="19"/>
      <c r="H324" s="23">
        <f t="shared" ref="H324:H387" si="30">0.2*B323+0.8*H323</f>
        <v>3253.0671174543863</v>
      </c>
      <c r="I324" s="23">
        <f t="shared" ref="I324:I387" si="31">B324-H324</f>
        <v>-218.06711745438633</v>
      </c>
    </row>
    <row r="325" spans="1:9" ht="15" customHeight="1" x14ac:dyDescent="0.3">
      <c r="A325" s="17">
        <v>323</v>
      </c>
      <c r="B325" s="17">
        <v>3319</v>
      </c>
      <c r="C325" s="24">
        <f t="shared" si="26"/>
        <v>3068</v>
      </c>
      <c r="D325" s="24">
        <f t="shared" si="27"/>
        <v>251</v>
      </c>
      <c r="E325" s="24">
        <f t="shared" si="28"/>
        <v>4135.5</v>
      </c>
      <c r="F325" s="25">
        <f t="shared" si="29"/>
        <v>12056.982955201234</v>
      </c>
      <c r="G325" s="19"/>
      <c r="H325" s="20">
        <f t="shared" si="30"/>
        <v>3209.4536939635091</v>
      </c>
      <c r="I325" s="20">
        <f t="shared" si="31"/>
        <v>109.54630603649093</v>
      </c>
    </row>
    <row r="326" spans="1:9" ht="15" customHeight="1" x14ac:dyDescent="0.3">
      <c r="A326" s="17">
        <v>324</v>
      </c>
      <c r="B326" s="17">
        <v>3293</v>
      </c>
      <c r="C326" s="23">
        <f t="shared" si="26"/>
        <v>3157.5</v>
      </c>
      <c r="D326" s="23">
        <f t="shared" si="27"/>
        <v>135.5</v>
      </c>
      <c r="E326" s="23">
        <f t="shared" si="28"/>
        <v>4020</v>
      </c>
      <c r="F326" s="26">
        <f t="shared" si="29"/>
        <v>12056.982955201234</v>
      </c>
      <c r="G326" s="19"/>
      <c r="H326" s="23">
        <f t="shared" si="30"/>
        <v>3231.3629551708077</v>
      </c>
      <c r="I326" s="23">
        <f t="shared" si="31"/>
        <v>61.637044829192291</v>
      </c>
    </row>
    <row r="327" spans="1:9" ht="15" customHeight="1" x14ac:dyDescent="0.3">
      <c r="A327" s="17">
        <v>325</v>
      </c>
      <c r="B327" s="17">
        <v>3153</v>
      </c>
      <c r="C327" s="24">
        <f t="shared" ref="C327:C390" si="32">AVERAGE(B323:B326)</f>
        <v>3203.5</v>
      </c>
      <c r="D327" s="24">
        <f t="shared" ref="D327:D390" si="33">B327-C327</f>
        <v>-50.5</v>
      </c>
      <c r="E327" s="24">
        <f t="shared" ref="E327:E390" si="34">$C$502+D327</f>
        <v>3834</v>
      </c>
      <c r="F327" s="25">
        <f t="shared" ref="F327:F390" si="35">4*MIN(E327,$E$509)-0.8*$E$509</f>
        <v>12056.982955201234</v>
      </c>
      <c r="G327" s="19"/>
      <c r="H327" s="20">
        <f t="shared" si="30"/>
        <v>3243.6903641366462</v>
      </c>
      <c r="I327" s="20">
        <f t="shared" si="31"/>
        <v>-90.690364136646167</v>
      </c>
    </row>
    <row r="328" spans="1:9" ht="15" customHeight="1" x14ac:dyDescent="0.3">
      <c r="A328" s="17">
        <v>326</v>
      </c>
      <c r="B328" s="17">
        <v>3800</v>
      </c>
      <c r="C328" s="23">
        <f t="shared" si="32"/>
        <v>3200</v>
      </c>
      <c r="D328" s="23">
        <f t="shared" si="33"/>
        <v>600</v>
      </c>
      <c r="E328" s="23">
        <f t="shared" si="34"/>
        <v>4484.5</v>
      </c>
      <c r="F328" s="26">
        <f t="shared" si="35"/>
        <v>12056.982955201234</v>
      </c>
      <c r="G328" s="19"/>
      <c r="H328" s="23">
        <f t="shared" si="30"/>
        <v>3225.5522913093168</v>
      </c>
      <c r="I328" s="23">
        <f t="shared" si="31"/>
        <v>574.44770869068316</v>
      </c>
    </row>
    <row r="329" spans="1:9" ht="15" customHeight="1" x14ac:dyDescent="0.3">
      <c r="A329" s="17">
        <v>327</v>
      </c>
      <c r="B329" s="17">
        <v>2818</v>
      </c>
      <c r="C329" s="24">
        <f t="shared" si="32"/>
        <v>3391.25</v>
      </c>
      <c r="D329" s="24">
        <f t="shared" si="33"/>
        <v>-573.25</v>
      </c>
      <c r="E329" s="24">
        <f t="shared" si="34"/>
        <v>3311.25</v>
      </c>
      <c r="F329" s="25">
        <f t="shared" si="35"/>
        <v>10230.754261199691</v>
      </c>
      <c r="G329" s="19"/>
      <c r="H329" s="20">
        <f t="shared" si="30"/>
        <v>3340.4418330474537</v>
      </c>
      <c r="I329" s="20">
        <f t="shared" si="31"/>
        <v>-522.44183304745366</v>
      </c>
    </row>
    <row r="330" spans="1:9" ht="15" customHeight="1" x14ac:dyDescent="0.3">
      <c r="A330" s="17">
        <v>328</v>
      </c>
      <c r="B330" s="17">
        <v>3573</v>
      </c>
      <c r="C330" s="23">
        <f t="shared" si="32"/>
        <v>3266</v>
      </c>
      <c r="D330" s="23">
        <f t="shared" si="33"/>
        <v>307</v>
      </c>
      <c r="E330" s="23">
        <f t="shared" si="34"/>
        <v>4191.5</v>
      </c>
      <c r="F330" s="26">
        <f t="shared" si="35"/>
        <v>12056.982955201234</v>
      </c>
      <c r="G330" s="19"/>
      <c r="H330" s="23">
        <f t="shared" si="30"/>
        <v>3235.953466437963</v>
      </c>
      <c r="I330" s="23">
        <f t="shared" si="31"/>
        <v>337.04653356203698</v>
      </c>
    </row>
    <row r="331" spans="1:9" ht="15" customHeight="1" x14ac:dyDescent="0.3">
      <c r="A331" s="17">
        <v>329</v>
      </c>
      <c r="B331" s="17">
        <v>3127</v>
      </c>
      <c r="C331" s="24">
        <f t="shared" si="32"/>
        <v>3336</v>
      </c>
      <c r="D331" s="24">
        <f t="shared" si="33"/>
        <v>-209</v>
      </c>
      <c r="E331" s="24">
        <f t="shared" si="34"/>
        <v>3675.5</v>
      </c>
      <c r="F331" s="25">
        <f t="shared" si="35"/>
        <v>11687.754261199691</v>
      </c>
      <c r="G331" s="19"/>
      <c r="H331" s="20">
        <f t="shared" si="30"/>
        <v>3303.3627731503707</v>
      </c>
      <c r="I331" s="20">
        <f t="shared" si="31"/>
        <v>-176.36277315037069</v>
      </c>
    </row>
    <row r="332" spans="1:9" ht="15" customHeight="1" x14ac:dyDescent="0.3">
      <c r="A332" s="17">
        <v>330</v>
      </c>
      <c r="B332" s="17">
        <v>3375</v>
      </c>
      <c r="C332" s="23">
        <f t="shared" si="32"/>
        <v>3329.5</v>
      </c>
      <c r="D332" s="23">
        <f t="shared" si="33"/>
        <v>45.5</v>
      </c>
      <c r="E332" s="23">
        <f t="shared" si="34"/>
        <v>3930</v>
      </c>
      <c r="F332" s="26">
        <f t="shared" si="35"/>
        <v>12056.982955201234</v>
      </c>
      <c r="G332" s="19"/>
      <c r="H332" s="23">
        <f t="shared" si="30"/>
        <v>3268.0902185202967</v>
      </c>
      <c r="I332" s="23">
        <f t="shared" si="31"/>
        <v>106.90978147970327</v>
      </c>
    </row>
    <row r="333" spans="1:9" ht="15" customHeight="1" x14ac:dyDescent="0.3">
      <c r="A333" s="17">
        <v>331</v>
      </c>
      <c r="B333" s="17">
        <v>3062</v>
      </c>
      <c r="C333" s="24">
        <f t="shared" si="32"/>
        <v>3223.25</v>
      </c>
      <c r="D333" s="24">
        <f t="shared" si="33"/>
        <v>-161.25</v>
      </c>
      <c r="E333" s="24">
        <f t="shared" si="34"/>
        <v>3723.25</v>
      </c>
      <c r="F333" s="25">
        <f t="shared" si="35"/>
        <v>11878.754261199691</v>
      </c>
      <c r="G333" s="19"/>
      <c r="H333" s="20">
        <f t="shared" si="30"/>
        <v>3289.4721748162374</v>
      </c>
      <c r="I333" s="20">
        <f t="shared" si="31"/>
        <v>-227.47217481623738</v>
      </c>
    </row>
    <row r="334" spans="1:9" ht="15" customHeight="1" x14ac:dyDescent="0.3">
      <c r="A334" s="17">
        <v>332</v>
      </c>
      <c r="B334" s="17">
        <v>3125</v>
      </c>
      <c r="C334" s="23">
        <f t="shared" si="32"/>
        <v>3284.25</v>
      </c>
      <c r="D334" s="23">
        <f t="shared" si="33"/>
        <v>-159.25</v>
      </c>
      <c r="E334" s="23">
        <f t="shared" si="34"/>
        <v>3725.25</v>
      </c>
      <c r="F334" s="26">
        <f t="shared" si="35"/>
        <v>11886.754261199691</v>
      </c>
      <c r="G334" s="19"/>
      <c r="H334" s="23">
        <f t="shared" si="30"/>
        <v>3243.97773985299</v>
      </c>
      <c r="I334" s="23">
        <f t="shared" si="31"/>
        <v>-118.97773985299</v>
      </c>
    </row>
    <row r="335" spans="1:9" ht="15" customHeight="1" x14ac:dyDescent="0.3">
      <c r="A335" s="17">
        <v>333</v>
      </c>
      <c r="B335" s="17">
        <v>3313</v>
      </c>
      <c r="C335" s="24">
        <f t="shared" si="32"/>
        <v>3172.25</v>
      </c>
      <c r="D335" s="24">
        <f t="shared" si="33"/>
        <v>140.75</v>
      </c>
      <c r="E335" s="24">
        <f t="shared" si="34"/>
        <v>4025.25</v>
      </c>
      <c r="F335" s="25">
        <f t="shared" si="35"/>
        <v>12056.982955201234</v>
      </c>
      <c r="G335" s="19"/>
      <c r="H335" s="20">
        <f t="shared" si="30"/>
        <v>3220.1821918823921</v>
      </c>
      <c r="I335" s="20">
        <f t="shared" si="31"/>
        <v>92.81780811760791</v>
      </c>
    </row>
    <row r="336" spans="1:9" ht="15" customHeight="1" x14ac:dyDescent="0.3">
      <c r="A336" s="17">
        <v>334</v>
      </c>
      <c r="B336" s="17">
        <v>2992</v>
      </c>
      <c r="C336" s="23">
        <f t="shared" si="32"/>
        <v>3218.75</v>
      </c>
      <c r="D336" s="23">
        <f t="shared" si="33"/>
        <v>-226.75</v>
      </c>
      <c r="E336" s="23">
        <f t="shared" si="34"/>
        <v>3657.75</v>
      </c>
      <c r="F336" s="26">
        <f t="shared" si="35"/>
        <v>11616.754261199691</v>
      </c>
      <c r="G336" s="19"/>
      <c r="H336" s="23">
        <f t="shared" si="30"/>
        <v>3238.7457535059139</v>
      </c>
      <c r="I336" s="23">
        <f t="shared" si="31"/>
        <v>-246.74575350591385</v>
      </c>
    </row>
    <row r="337" spans="1:9" ht="15" customHeight="1" x14ac:dyDescent="0.3">
      <c r="A337" s="17">
        <v>335</v>
      </c>
      <c r="B337" s="17">
        <v>2973</v>
      </c>
      <c r="C337" s="24">
        <f t="shared" si="32"/>
        <v>3123</v>
      </c>
      <c r="D337" s="24">
        <f t="shared" si="33"/>
        <v>-150</v>
      </c>
      <c r="E337" s="24">
        <f t="shared" si="34"/>
        <v>3734.5</v>
      </c>
      <c r="F337" s="25">
        <f t="shared" si="35"/>
        <v>11923.754261199691</v>
      </c>
      <c r="G337" s="19"/>
      <c r="H337" s="20">
        <f t="shared" si="30"/>
        <v>3189.3966028047312</v>
      </c>
      <c r="I337" s="20">
        <f t="shared" si="31"/>
        <v>-216.39660280473117</v>
      </c>
    </row>
    <row r="338" spans="1:9" ht="15" customHeight="1" x14ac:dyDescent="0.3">
      <c r="A338" s="17">
        <v>336</v>
      </c>
      <c r="B338" s="17">
        <v>3640</v>
      </c>
      <c r="C338" s="23">
        <f t="shared" si="32"/>
        <v>3100.75</v>
      </c>
      <c r="D338" s="23">
        <f t="shared" si="33"/>
        <v>539.25</v>
      </c>
      <c r="E338" s="23">
        <f t="shared" si="34"/>
        <v>4423.75</v>
      </c>
      <c r="F338" s="26">
        <f t="shared" si="35"/>
        <v>12056.982955201234</v>
      </c>
      <c r="G338" s="19"/>
      <c r="H338" s="23">
        <f t="shared" si="30"/>
        <v>3146.1172822437852</v>
      </c>
      <c r="I338" s="23">
        <f t="shared" si="31"/>
        <v>493.88271775621479</v>
      </c>
    </row>
    <row r="339" spans="1:9" ht="15" customHeight="1" x14ac:dyDescent="0.3">
      <c r="A339" s="17">
        <v>337</v>
      </c>
      <c r="B339" s="17">
        <v>3730</v>
      </c>
      <c r="C339" s="24">
        <f t="shared" si="32"/>
        <v>3229.5</v>
      </c>
      <c r="D339" s="24">
        <f t="shared" si="33"/>
        <v>500.5</v>
      </c>
      <c r="E339" s="24">
        <f t="shared" si="34"/>
        <v>4385</v>
      </c>
      <c r="F339" s="25">
        <f t="shared" si="35"/>
        <v>12056.982955201234</v>
      </c>
      <c r="G339" s="19"/>
      <c r="H339" s="20">
        <f t="shared" si="30"/>
        <v>3244.8938257950285</v>
      </c>
      <c r="I339" s="20">
        <f t="shared" si="31"/>
        <v>485.10617420497147</v>
      </c>
    </row>
    <row r="340" spans="1:9" ht="15" customHeight="1" x14ac:dyDescent="0.3">
      <c r="A340" s="17">
        <v>338</v>
      </c>
      <c r="B340" s="17">
        <v>2939</v>
      </c>
      <c r="C340" s="23">
        <f t="shared" si="32"/>
        <v>3333.75</v>
      </c>
      <c r="D340" s="23">
        <f t="shared" si="33"/>
        <v>-394.75</v>
      </c>
      <c r="E340" s="23">
        <f t="shared" si="34"/>
        <v>3489.75</v>
      </c>
      <c r="F340" s="26">
        <f t="shared" si="35"/>
        <v>10944.754261199691</v>
      </c>
      <c r="G340" s="19"/>
      <c r="H340" s="23">
        <f t="shared" si="30"/>
        <v>3341.9150606360231</v>
      </c>
      <c r="I340" s="23">
        <f t="shared" si="31"/>
        <v>-402.9150606360231</v>
      </c>
    </row>
    <row r="341" spans="1:9" ht="15" customHeight="1" x14ac:dyDescent="0.3">
      <c r="A341" s="17">
        <v>339</v>
      </c>
      <c r="B341" s="17">
        <v>3731</v>
      </c>
      <c r="C341" s="24">
        <f t="shared" si="32"/>
        <v>3320.5</v>
      </c>
      <c r="D341" s="24">
        <f t="shared" si="33"/>
        <v>410.5</v>
      </c>
      <c r="E341" s="24">
        <f t="shared" si="34"/>
        <v>4295</v>
      </c>
      <c r="F341" s="25">
        <f t="shared" si="35"/>
        <v>12056.982955201234</v>
      </c>
      <c r="G341" s="19"/>
      <c r="H341" s="20">
        <f t="shared" si="30"/>
        <v>3261.3320485088188</v>
      </c>
      <c r="I341" s="20">
        <f t="shared" si="31"/>
        <v>469.66795149118116</v>
      </c>
    </row>
    <row r="342" spans="1:9" ht="15" customHeight="1" x14ac:dyDescent="0.3">
      <c r="A342" s="17">
        <v>340</v>
      </c>
      <c r="B342" s="17">
        <v>3778</v>
      </c>
      <c r="C342" s="23">
        <f t="shared" si="32"/>
        <v>3510</v>
      </c>
      <c r="D342" s="23">
        <f t="shared" si="33"/>
        <v>268</v>
      </c>
      <c r="E342" s="23">
        <f t="shared" si="34"/>
        <v>4152.5</v>
      </c>
      <c r="F342" s="26">
        <f t="shared" si="35"/>
        <v>12056.982955201234</v>
      </c>
      <c r="G342" s="19"/>
      <c r="H342" s="23">
        <f t="shared" si="30"/>
        <v>3355.2656388070554</v>
      </c>
      <c r="I342" s="23">
        <f t="shared" si="31"/>
        <v>422.73436119294456</v>
      </c>
    </row>
    <row r="343" spans="1:9" ht="15" customHeight="1" x14ac:dyDescent="0.3">
      <c r="A343" s="17">
        <v>341</v>
      </c>
      <c r="B343" s="17">
        <v>3118</v>
      </c>
      <c r="C343" s="24">
        <f t="shared" si="32"/>
        <v>3544.5</v>
      </c>
      <c r="D343" s="24">
        <f t="shared" si="33"/>
        <v>-426.5</v>
      </c>
      <c r="E343" s="24">
        <f t="shared" si="34"/>
        <v>3458</v>
      </c>
      <c r="F343" s="25">
        <f t="shared" si="35"/>
        <v>10817.754261199691</v>
      </c>
      <c r="G343" s="19"/>
      <c r="H343" s="20">
        <f t="shared" si="30"/>
        <v>3439.8125110456444</v>
      </c>
      <c r="I343" s="20">
        <f t="shared" si="31"/>
        <v>-321.81251104564444</v>
      </c>
    </row>
    <row r="344" spans="1:9" ht="15" customHeight="1" x14ac:dyDescent="0.3">
      <c r="A344" s="17">
        <v>342</v>
      </c>
      <c r="B344" s="17">
        <v>3824</v>
      </c>
      <c r="C344" s="23">
        <f t="shared" si="32"/>
        <v>3391.5</v>
      </c>
      <c r="D344" s="23">
        <f t="shared" si="33"/>
        <v>432.5</v>
      </c>
      <c r="E344" s="23">
        <f t="shared" si="34"/>
        <v>4317</v>
      </c>
      <c r="F344" s="26">
        <f t="shared" si="35"/>
        <v>12056.982955201234</v>
      </c>
      <c r="G344" s="19"/>
      <c r="H344" s="23">
        <f t="shared" si="30"/>
        <v>3375.4500088365157</v>
      </c>
      <c r="I344" s="23">
        <f t="shared" si="31"/>
        <v>448.54999116348426</v>
      </c>
    </row>
    <row r="345" spans="1:9" ht="15" customHeight="1" x14ac:dyDescent="0.3">
      <c r="A345" s="17">
        <v>343</v>
      </c>
      <c r="B345" s="17">
        <v>3114</v>
      </c>
      <c r="C345" s="24">
        <f t="shared" si="32"/>
        <v>3612.75</v>
      </c>
      <c r="D345" s="24">
        <f t="shared" si="33"/>
        <v>-498.75</v>
      </c>
      <c r="E345" s="24">
        <f t="shared" si="34"/>
        <v>3385.75</v>
      </c>
      <c r="F345" s="25">
        <f t="shared" si="35"/>
        <v>10528.754261199691</v>
      </c>
      <c r="G345" s="19"/>
      <c r="H345" s="20">
        <f t="shared" si="30"/>
        <v>3465.160007069213</v>
      </c>
      <c r="I345" s="20">
        <f t="shared" si="31"/>
        <v>-351.16000706921295</v>
      </c>
    </row>
    <row r="346" spans="1:9" ht="15" customHeight="1" x14ac:dyDescent="0.3">
      <c r="A346" s="17">
        <v>344</v>
      </c>
      <c r="B346" s="17">
        <v>2895</v>
      </c>
      <c r="C346" s="23">
        <f t="shared" si="32"/>
        <v>3458.5</v>
      </c>
      <c r="D346" s="23">
        <f t="shared" si="33"/>
        <v>-563.5</v>
      </c>
      <c r="E346" s="23">
        <f t="shared" si="34"/>
        <v>3321</v>
      </c>
      <c r="F346" s="26">
        <f t="shared" si="35"/>
        <v>10269.754261199691</v>
      </c>
      <c r="G346" s="19"/>
      <c r="H346" s="23">
        <f t="shared" si="30"/>
        <v>3394.9280056553707</v>
      </c>
      <c r="I346" s="23">
        <f t="shared" si="31"/>
        <v>-499.92800565537073</v>
      </c>
    </row>
    <row r="347" spans="1:9" ht="15" customHeight="1" x14ac:dyDescent="0.3">
      <c r="A347" s="17">
        <v>345</v>
      </c>
      <c r="B347" s="17">
        <v>3645</v>
      </c>
      <c r="C347" s="24">
        <f t="shared" si="32"/>
        <v>3237.75</v>
      </c>
      <c r="D347" s="24">
        <f t="shared" si="33"/>
        <v>407.25</v>
      </c>
      <c r="E347" s="24">
        <f t="shared" si="34"/>
        <v>4291.75</v>
      </c>
      <c r="F347" s="25">
        <f t="shared" si="35"/>
        <v>12056.982955201234</v>
      </c>
      <c r="G347" s="19"/>
      <c r="H347" s="20">
        <f t="shared" si="30"/>
        <v>3294.9424045242968</v>
      </c>
      <c r="I347" s="20">
        <f t="shared" si="31"/>
        <v>350.05759547570324</v>
      </c>
    </row>
    <row r="348" spans="1:9" ht="15" customHeight="1" x14ac:dyDescent="0.3">
      <c r="A348" s="17">
        <v>346</v>
      </c>
      <c r="B348" s="17">
        <v>3301</v>
      </c>
      <c r="C348" s="23">
        <f t="shared" si="32"/>
        <v>3369.5</v>
      </c>
      <c r="D348" s="23">
        <f t="shared" si="33"/>
        <v>-68.5</v>
      </c>
      <c r="E348" s="23">
        <f t="shared" si="34"/>
        <v>3816</v>
      </c>
      <c r="F348" s="26">
        <f t="shared" si="35"/>
        <v>12056.982955201234</v>
      </c>
      <c r="G348" s="19"/>
      <c r="H348" s="23">
        <f t="shared" si="30"/>
        <v>3364.9539236194378</v>
      </c>
      <c r="I348" s="23">
        <f t="shared" si="31"/>
        <v>-63.953923619437774</v>
      </c>
    </row>
    <row r="349" spans="1:9" ht="15" customHeight="1" x14ac:dyDescent="0.3">
      <c r="A349" s="17">
        <v>347</v>
      </c>
      <c r="B349" s="17">
        <v>3619</v>
      </c>
      <c r="C349" s="24">
        <f t="shared" si="32"/>
        <v>3238.75</v>
      </c>
      <c r="D349" s="24">
        <f t="shared" si="33"/>
        <v>380.25</v>
      </c>
      <c r="E349" s="24">
        <f t="shared" si="34"/>
        <v>4264.75</v>
      </c>
      <c r="F349" s="25">
        <f t="shared" si="35"/>
        <v>12056.982955201234</v>
      </c>
      <c r="G349" s="19"/>
      <c r="H349" s="20">
        <f t="shared" si="30"/>
        <v>3352.1631388955502</v>
      </c>
      <c r="I349" s="20">
        <f t="shared" si="31"/>
        <v>266.83686110444978</v>
      </c>
    </row>
    <row r="350" spans="1:9" ht="15" customHeight="1" x14ac:dyDescent="0.3">
      <c r="A350" s="17">
        <v>348</v>
      </c>
      <c r="B350" s="17">
        <v>3859</v>
      </c>
      <c r="C350" s="23">
        <f t="shared" si="32"/>
        <v>3365</v>
      </c>
      <c r="D350" s="23">
        <f t="shared" si="33"/>
        <v>494</v>
      </c>
      <c r="E350" s="23">
        <f t="shared" si="34"/>
        <v>4378.5</v>
      </c>
      <c r="F350" s="26">
        <f t="shared" si="35"/>
        <v>12056.982955201234</v>
      </c>
      <c r="G350" s="19"/>
      <c r="H350" s="23">
        <f t="shared" si="30"/>
        <v>3405.5305111164407</v>
      </c>
      <c r="I350" s="23">
        <f t="shared" si="31"/>
        <v>453.46948888355928</v>
      </c>
    </row>
    <row r="351" spans="1:9" ht="15" customHeight="1" x14ac:dyDescent="0.3">
      <c r="A351" s="17">
        <v>349</v>
      </c>
      <c r="B351" s="17">
        <v>3711</v>
      </c>
      <c r="C351" s="24">
        <f t="shared" si="32"/>
        <v>3606</v>
      </c>
      <c r="D351" s="24">
        <f t="shared" si="33"/>
        <v>105</v>
      </c>
      <c r="E351" s="24">
        <f t="shared" si="34"/>
        <v>3989.5</v>
      </c>
      <c r="F351" s="25">
        <f t="shared" si="35"/>
        <v>12056.982955201234</v>
      </c>
      <c r="G351" s="19"/>
      <c r="H351" s="20">
        <f t="shared" si="30"/>
        <v>3496.2244088931529</v>
      </c>
      <c r="I351" s="20">
        <f t="shared" si="31"/>
        <v>214.77559110684706</v>
      </c>
    </row>
    <row r="352" spans="1:9" ht="15" customHeight="1" x14ac:dyDescent="0.3">
      <c r="A352" s="17">
        <v>350</v>
      </c>
      <c r="B352" s="17">
        <v>3059</v>
      </c>
      <c r="C352" s="23">
        <f t="shared" si="32"/>
        <v>3622.5</v>
      </c>
      <c r="D352" s="23">
        <f t="shared" si="33"/>
        <v>-563.5</v>
      </c>
      <c r="E352" s="23">
        <f t="shared" si="34"/>
        <v>3321</v>
      </c>
      <c r="F352" s="26">
        <f t="shared" si="35"/>
        <v>10269.754261199691</v>
      </c>
      <c r="G352" s="19"/>
      <c r="H352" s="23">
        <f t="shared" si="30"/>
        <v>3539.1795271145229</v>
      </c>
      <c r="I352" s="23">
        <f t="shared" si="31"/>
        <v>-480.1795271145229</v>
      </c>
    </row>
    <row r="353" spans="1:9" ht="15" customHeight="1" x14ac:dyDescent="0.3">
      <c r="A353" s="17">
        <v>351</v>
      </c>
      <c r="B353" s="17">
        <v>3776</v>
      </c>
      <c r="C353" s="24">
        <f t="shared" si="32"/>
        <v>3562</v>
      </c>
      <c r="D353" s="24">
        <f t="shared" si="33"/>
        <v>214</v>
      </c>
      <c r="E353" s="24">
        <f t="shared" si="34"/>
        <v>4098.5</v>
      </c>
      <c r="F353" s="25">
        <f t="shared" si="35"/>
        <v>12056.982955201234</v>
      </c>
      <c r="G353" s="19"/>
      <c r="H353" s="20">
        <f t="shared" si="30"/>
        <v>3443.1436216916186</v>
      </c>
      <c r="I353" s="20">
        <f t="shared" si="31"/>
        <v>332.85637830838141</v>
      </c>
    </row>
    <row r="354" spans="1:9" ht="15" customHeight="1" x14ac:dyDescent="0.3">
      <c r="A354" s="17">
        <v>352</v>
      </c>
      <c r="B354" s="17">
        <v>3299</v>
      </c>
      <c r="C354" s="23">
        <f t="shared" si="32"/>
        <v>3601.25</v>
      </c>
      <c r="D354" s="23">
        <f t="shared" si="33"/>
        <v>-302.25</v>
      </c>
      <c r="E354" s="23">
        <f t="shared" si="34"/>
        <v>3582.25</v>
      </c>
      <c r="F354" s="26">
        <f t="shared" si="35"/>
        <v>11314.754261199691</v>
      </c>
      <c r="G354" s="19"/>
      <c r="H354" s="23">
        <f t="shared" si="30"/>
        <v>3509.7148973532949</v>
      </c>
      <c r="I354" s="23">
        <f t="shared" si="31"/>
        <v>-210.71489735329487</v>
      </c>
    </row>
    <row r="355" spans="1:9" ht="15" customHeight="1" x14ac:dyDescent="0.3">
      <c r="A355" s="17">
        <v>353</v>
      </c>
      <c r="B355" s="17">
        <v>3275</v>
      </c>
      <c r="C355" s="24">
        <f t="shared" si="32"/>
        <v>3461.25</v>
      </c>
      <c r="D355" s="24">
        <f t="shared" si="33"/>
        <v>-186.25</v>
      </c>
      <c r="E355" s="24">
        <f t="shared" si="34"/>
        <v>3698.25</v>
      </c>
      <c r="F355" s="25">
        <f t="shared" si="35"/>
        <v>11778.754261199691</v>
      </c>
      <c r="G355" s="19"/>
      <c r="H355" s="20">
        <f t="shared" si="30"/>
        <v>3467.5719178826362</v>
      </c>
      <c r="I355" s="20">
        <f t="shared" si="31"/>
        <v>-192.57191788263617</v>
      </c>
    </row>
    <row r="356" spans="1:9" ht="15" customHeight="1" x14ac:dyDescent="0.3">
      <c r="A356" s="17">
        <v>354</v>
      </c>
      <c r="B356" s="17">
        <v>2980</v>
      </c>
      <c r="C356" s="23">
        <f t="shared" si="32"/>
        <v>3352.25</v>
      </c>
      <c r="D356" s="23">
        <f t="shared" si="33"/>
        <v>-372.25</v>
      </c>
      <c r="E356" s="23">
        <f t="shared" si="34"/>
        <v>3512.25</v>
      </c>
      <c r="F356" s="26">
        <f t="shared" si="35"/>
        <v>11034.754261199691</v>
      </c>
      <c r="G356" s="19"/>
      <c r="H356" s="23">
        <f t="shared" si="30"/>
        <v>3429.0575343061091</v>
      </c>
      <c r="I356" s="23">
        <f t="shared" si="31"/>
        <v>-449.05753430610912</v>
      </c>
    </row>
    <row r="357" spans="1:9" ht="15" customHeight="1" x14ac:dyDescent="0.3">
      <c r="A357" s="17">
        <v>355</v>
      </c>
      <c r="B357" s="17">
        <v>3097</v>
      </c>
      <c r="C357" s="24">
        <f t="shared" si="32"/>
        <v>3332.5</v>
      </c>
      <c r="D357" s="24">
        <f t="shared" si="33"/>
        <v>-235.5</v>
      </c>
      <c r="E357" s="24">
        <f t="shared" si="34"/>
        <v>3649</v>
      </c>
      <c r="F357" s="25">
        <f t="shared" si="35"/>
        <v>11581.754261199691</v>
      </c>
      <c r="G357" s="19"/>
      <c r="H357" s="20">
        <f t="shared" si="30"/>
        <v>3339.2460274448877</v>
      </c>
      <c r="I357" s="20">
        <f t="shared" si="31"/>
        <v>-242.24602744488766</v>
      </c>
    </row>
    <row r="358" spans="1:9" ht="15" customHeight="1" x14ac:dyDescent="0.3">
      <c r="A358" s="17">
        <v>356</v>
      </c>
      <c r="B358" s="17">
        <v>3511</v>
      </c>
      <c r="C358" s="23">
        <f t="shared" si="32"/>
        <v>3162.75</v>
      </c>
      <c r="D358" s="23">
        <f t="shared" si="33"/>
        <v>348.25</v>
      </c>
      <c r="E358" s="23">
        <f t="shared" si="34"/>
        <v>4232.75</v>
      </c>
      <c r="F358" s="26">
        <f t="shared" si="35"/>
        <v>12056.982955201234</v>
      </c>
      <c r="G358" s="19"/>
      <c r="H358" s="23">
        <f t="shared" si="30"/>
        <v>3290.7968219559102</v>
      </c>
      <c r="I358" s="23">
        <f t="shared" si="31"/>
        <v>220.20317804408978</v>
      </c>
    </row>
    <row r="359" spans="1:9" ht="15" customHeight="1" x14ac:dyDescent="0.3">
      <c r="A359" s="17">
        <v>357</v>
      </c>
      <c r="B359" s="17">
        <v>3129</v>
      </c>
      <c r="C359" s="24">
        <f t="shared" si="32"/>
        <v>3215.75</v>
      </c>
      <c r="D359" s="24">
        <f t="shared" si="33"/>
        <v>-86.75</v>
      </c>
      <c r="E359" s="24">
        <f t="shared" si="34"/>
        <v>3797.75</v>
      </c>
      <c r="F359" s="25">
        <f t="shared" si="35"/>
        <v>12056.982955201234</v>
      </c>
      <c r="G359" s="19"/>
      <c r="H359" s="20">
        <f t="shared" si="30"/>
        <v>3334.8374575647285</v>
      </c>
      <c r="I359" s="20">
        <f t="shared" si="31"/>
        <v>-205.83745756472854</v>
      </c>
    </row>
    <row r="360" spans="1:9" ht="15" customHeight="1" x14ac:dyDescent="0.3">
      <c r="A360" s="17">
        <v>358</v>
      </c>
      <c r="B360" s="17">
        <v>3504</v>
      </c>
      <c r="C360" s="23">
        <f t="shared" si="32"/>
        <v>3179.25</v>
      </c>
      <c r="D360" s="23">
        <f t="shared" si="33"/>
        <v>324.75</v>
      </c>
      <c r="E360" s="23">
        <f t="shared" si="34"/>
        <v>4209.25</v>
      </c>
      <c r="F360" s="26">
        <f t="shared" si="35"/>
        <v>12056.982955201234</v>
      </c>
      <c r="G360" s="19"/>
      <c r="H360" s="23">
        <f t="shared" si="30"/>
        <v>3293.6699660517834</v>
      </c>
      <c r="I360" s="23">
        <f t="shared" si="31"/>
        <v>210.33003394821662</v>
      </c>
    </row>
    <row r="361" spans="1:9" ht="15" customHeight="1" x14ac:dyDescent="0.3">
      <c r="A361" s="17">
        <v>359</v>
      </c>
      <c r="B361" s="17">
        <v>3526</v>
      </c>
      <c r="C361" s="24">
        <f t="shared" si="32"/>
        <v>3310.25</v>
      </c>
      <c r="D361" s="24">
        <f t="shared" si="33"/>
        <v>215.75</v>
      </c>
      <c r="E361" s="24">
        <f t="shared" si="34"/>
        <v>4100.25</v>
      </c>
      <c r="F361" s="25">
        <f t="shared" si="35"/>
        <v>12056.982955201234</v>
      </c>
      <c r="G361" s="19"/>
      <c r="H361" s="20">
        <f t="shared" si="30"/>
        <v>3335.7359728414272</v>
      </c>
      <c r="I361" s="20">
        <f t="shared" si="31"/>
        <v>190.26402715857284</v>
      </c>
    </row>
    <row r="362" spans="1:9" ht="15" customHeight="1" x14ac:dyDescent="0.3">
      <c r="A362" s="17">
        <v>360</v>
      </c>
      <c r="B362" s="17">
        <v>3139</v>
      </c>
      <c r="C362" s="23">
        <f t="shared" si="32"/>
        <v>3417.5</v>
      </c>
      <c r="D362" s="23">
        <f t="shared" si="33"/>
        <v>-278.5</v>
      </c>
      <c r="E362" s="23">
        <f t="shared" si="34"/>
        <v>3606</v>
      </c>
      <c r="F362" s="26">
        <f t="shared" si="35"/>
        <v>11409.754261199691</v>
      </c>
      <c r="G362" s="19"/>
      <c r="H362" s="23">
        <f t="shared" si="30"/>
        <v>3373.7887782731423</v>
      </c>
      <c r="I362" s="23">
        <f t="shared" si="31"/>
        <v>-234.78877827314227</v>
      </c>
    </row>
    <row r="363" spans="1:9" ht="15" customHeight="1" x14ac:dyDescent="0.3">
      <c r="A363" s="17">
        <v>361</v>
      </c>
      <c r="B363" s="17">
        <v>3249</v>
      </c>
      <c r="C363" s="24">
        <f t="shared" si="32"/>
        <v>3324.5</v>
      </c>
      <c r="D363" s="24">
        <f t="shared" si="33"/>
        <v>-75.5</v>
      </c>
      <c r="E363" s="24">
        <f t="shared" si="34"/>
        <v>3809</v>
      </c>
      <c r="F363" s="25">
        <f t="shared" si="35"/>
        <v>12056.982955201234</v>
      </c>
      <c r="G363" s="19"/>
      <c r="H363" s="20">
        <f t="shared" si="30"/>
        <v>3326.831022618514</v>
      </c>
      <c r="I363" s="20">
        <f t="shared" si="31"/>
        <v>-77.831022618513998</v>
      </c>
    </row>
    <row r="364" spans="1:9" ht="15" customHeight="1" x14ac:dyDescent="0.3">
      <c r="A364" s="17">
        <v>362</v>
      </c>
      <c r="B364" s="17">
        <v>3079</v>
      </c>
      <c r="C364" s="23">
        <f t="shared" si="32"/>
        <v>3354.5</v>
      </c>
      <c r="D364" s="23">
        <f t="shared" si="33"/>
        <v>-275.5</v>
      </c>
      <c r="E364" s="23">
        <f t="shared" si="34"/>
        <v>3609</v>
      </c>
      <c r="F364" s="26">
        <f t="shared" si="35"/>
        <v>11421.754261199691</v>
      </c>
      <c r="G364" s="19"/>
      <c r="H364" s="23">
        <f t="shared" si="30"/>
        <v>3311.2648180948117</v>
      </c>
      <c r="I364" s="23">
        <f t="shared" si="31"/>
        <v>-232.26481809481174</v>
      </c>
    </row>
    <row r="365" spans="1:9" ht="15" customHeight="1" x14ac:dyDescent="0.3">
      <c r="A365" s="17">
        <v>363</v>
      </c>
      <c r="B365" s="17">
        <v>3137</v>
      </c>
      <c r="C365" s="24">
        <f t="shared" si="32"/>
        <v>3248.25</v>
      </c>
      <c r="D365" s="24">
        <f t="shared" si="33"/>
        <v>-111.25</v>
      </c>
      <c r="E365" s="24">
        <f t="shared" si="34"/>
        <v>3773.25</v>
      </c>
      <c r="F365" s="25">
        <f t="shared" si="35"/>
        <v>12056.982955201234</v>
      </c>
      <c r="G365" s="19"/>
      <c r="H365" s="20">
        <f t="shared" si="30"/>
        <v>3264.8118544758499</v>
      </c>
      <c r="I365" s="20">
        <f t="shared" si="31"/>
        <v>-127.81185447584994</v>
      </c>
    </row>
    <row r="366" spans="1:9" ht="15" customHeight="1" x14ac:dyDescent="0.3">
      <c r="A366" s="17">
        <v>364</v>
      </c>
      <c r="B366" s="17">
        <v>3926</v>
      </c>
      <c r="C366" s="23">
        <f t="shared" si="32"/>
        <v>3151</v>
      </c>
      <c r="D366" s="23">
        <f t="shared" si="33"/>
        <v>775</v>
      </c>
      <c r="E366" s="23">
        <f t="shared" si="34"/>
        <v>4659.5</v>
      </c>
      <c r="F366" s="26">
        <f t="shared" si="35"/>
        <v>12056.982955201234</v>
      </c>
      <c r="G366" s="19"/>
      <c r="H366" s="23">
        <f t="shared" si="30"/>
        <v>3239.2494835806801</v>
      </c>
      <c r="I366" s="23">
        <f t="shared" si="31"/>
        <v>686.75051641931987</v>
      </c>
    </row>
    <row r="367" spans="1:9" ht="15" customHeight="1" x14ac:dyDescent="0.3">
      <c r="A367" s="17">
        <v>365</v>
      </c>
      <c r="B367" s="17">
        <v>3873</v>
      </c>
      <c r="C367" s="24">
        <f t="shared" si="32"/>
        <v>3347.75</v>
      </c>
      <c r="D367" s="24">
        <f t="shared" si="33"/>
        <v>525.25</v>
      </c>
      <c r="E367" s="24">
        <f t="shared" si="34"/>
        <v>4409.75</v>
      </c>
      <c r="F367" s="25">
        <f t="shared" si="35"/>
        <v>12056.982955201234</v>
      </c>
      <c r="G367" s="19"/>
      <c r="H367" s="20">
        <f t="shared" si="30"/>
        <v>3376.5995868645441</v>
      </c>
      <c r="I367" s="20">
        <f t="shared" si="31"/>
        <v>496.40041313545589</v>
      </c>
    </row>
    <row r="368" spans="1:9" ht="15" customHeight="1" x14ac:dyDescent="0.3">
      <c r="A368" s="17">
        <v>366</v>
      </c>
      <c r="B368" s="17">
        <v>3430</v>
      </c>
      <c r="C368" s="23">
        <f t="shared" si="32"/>
        <v>3503.75</v>
      </c>
      <c r="D368" s="23">
        <f t="shared" si="33"/>
        <v>-73.75</v>
      </c>
      <c r="E368" s="23">
        <f t="shared" si="34"/>
        <v>3810.75</v>
      </c>
      <c r="F368" s="26">
        <f t="shared" si="35"/>
        <v>12056.982955201234</v>
      </c>
      <c r="G368" s="19"/>
      <c r="H368" s="23">
        <f t="shared" si="30"/>
        <v>3475.8796694916355</v>
      </c>
      <c r="I368" s="23">
        <f t="shared" si="31"/>
        <v>-45.879669491635468</v>
      </c>
    </row>
    <row r="369" spans="1:9" ht="15" customHeight="1" x14ac:dyDescent="0.3">
      <c r="A369" s="17">
        <v>367</v>
      </c>
      <c r="B369" s="17">
        <v>3729</v>
      </c>
      <c r="C369" s="24">
        <f t="shared" si="32"/>
        <v>3591.5</v>
      </c>
      <c r="D369" s="24">
        <f t="shared" si="33"/>
        <v>137.5</v>
      </c>
      <c r="E369" s="24">
        <f t="shared" si="34"/>
        <v>4022</v>
      </c>
      <c r="F369" s="25">
        <f t="shared" si="35"/>
        <v>12056.982955201234</v>
      </c>
      <c r="G369" s="19"/>
      <c r="H369" s="20">
        <f t="shared" si="30"/>
        <v>3466.7037355933085</v>
      </c>
      <c r="I369" s="20">
        <f t="shared" si="31"/>
        <v>262.29626440669153</v>
      </c>
    </row>
    <row r="370" spans="1:9" ht="15" customHeight="1" x14ac:dyDescent="0.3">
      <c r="A370" s="17">
        <v>368</v>
      </c>
      <c r="B370" s="17">
        <v>3759</v>
      </c>
      <c r="C370" s="23">
        <f t="shared" si="32"/>
        <v>3739.5</v>
      </c>
      <c r="D370" s="23">
        <f t="shared" si="33"/>
        <v>19.5</v>
      </c>
      <c r="E370" s="23">
        <f t="shared" si="34"/>
        <v>3904</v>
      </c>
      <c r="F370" s="26">
        <f t="shared" si="35"/>
        <v>12056.982955201234</v>
      </c>
      <c r="G370" s="19"/>
      <c r="H370" s="23">
        <f t="shared" si="30"/>
        <v>3519.1629884746471</v>
      </c>
      <c r="I370" s="23">
        <f t="shared" si="31"/>
        <v>239.83701152535286</v>
      </c>
    </row>
    <row r="371" spans="1:9" ht="15" customHeight="1" x14ac:dyDescent="0.3">
      <c r="A371" s="17">
        <v>369</v>
      </c>
      <c r="B371" s="17">
        <v>3279</v>
      </c>
      <c r="C371" s="24">
        <f t="shared" si="32"/>
        <v>3697.75</v>
      </c>
      <c r="D371" s="24">
        <f t="shared" si="33"/>
        <v>-418.75</v>
      </c>
      <c r="E371" s="24">
        <f t="shared" si="34"/>
        <v>3465.75</v>
      </c>
      <c r="F371" s="25">
        <f t="shared" si="35"/>
        <v>10848.754261199691</v>
      </c>
      <c r="G371" s="19"/>
      <c r="H371" s="20">
        <f t="shared" si="30"/>
        <v>3567.1303907797183</v>
      </c>
      <c r="I371" s="20">
        <f t="shared" si="31"/>
        <v>-288.13039077971825</v>
      </c>
    </row>
    <row r="372" spans="1:9" ht="15" customHeight="1" x14ac:dyDescent="0.3">
      <c r="A372" s="17">
        <v>370</v>
      </c>
      <c r="B372" s="17">
        <v>3195</v>
      </c>
      <c r="C372" s="23">
        <f t="shared" si="32"/>
        <v>3549.25</v>
      </c>
      <c r="D372" s="23">
        <f t="shared" si="33"/>
        <v>-354.25</v>
      </c>
      <c r="E372" s="23">
        <f t="shared" si="34"/>
        <v>3530.25</v>
      </c>
      <c r="F372" s="26">
        <f t="shared" si="35"/>
        <v>11106.754261199691</v>
      </c>
      <c r="G372" s="19"/>
      <c r="H372" s="23">
        <f t="shared" si="30"/>
        <v>3509.5043126237751</v>
      </c>
      <c r="I372" s="23">
        <f t="shared" si="31"/>
        <v>-314.50431262377515</v>
      </c>
    </row>
    <row r="373" spans="1:9" ht="15" customHeight="1" x14ac:dyDescent="0.3">
      <c r="A373" s="17">
        <v>371</v>
      </c>
      <c r="B373" s="17">
        <v>3447</v>
      </c>
      <c r="C373" s="24">
        <f t="shared" si="32"/>
        <v>3490.5</v>
      </c>
      <c r="D373" s="24">
        <f t="shared" si="33"/>
        <v>-43.5</v>
      </c>
      <c r="E373" s="24">
        <f t="shared" si="34"/>
        <v>3841</v>
      </c>
      <c r="F373" s="25">
        <f t="shared" si="35"/>
        <v>12056.982955201234</v>
      </c>
      <c r="G373" s="19"/>
      <c r="H373" s="20">
        <f t="shared" si="30"/>
        <v>3446.6034500990204</v>
      </c>
      <c r="I373" s="20">
        <f t="shared" si="31"/>
        <v>0.39654990097960763</v>
      </c>
    </row>
    <row r="374" spans="1:9" ht="15" customHeight="1" x14ac:dyDescent="0.3">
      <c r="A374" s="17">
        <v>372</v>
      </c>
      <c r="B374" s="17">
        <v>3520</v>
      </c>
      <c r="C374" s="23">
        <f t="shared" si="32"/>
        <v>3420</v>
      </c>
      <c r="D374" s="23">
        <f t="shared" si="33"/>
        <v>100</v>
      </c>
      <c r="E374" s="23">
        <f t="shared" si="34"/>
        <v>3984.5</v>
      </c>
      <c r="F374" s="26">
        <f t="shared" si="35"/>
        <v>12056.982955201234</v>
      </c>
      <c r="G374" s="19"/>
      <c r="H374" s="23">
        <f t="shared" si="30"/>
        <v>3446.6827600792167</v>
      </c>
      <c r="I374" s="23">
        <f t="shared" si="31"/>
        <v>73.317239920783322</v>
      </c>
    </row>
    <row r="375" spans="1:9" ht="15" customHeight="1" x14ac:dyDescent="0.3">
      <c r="A375" s="17">
        <v>373</v>
      </c>
      <c r="B375" s="17">
        <v>3383</v>
      </c>
      <c r="C375" s="24">
        <f t="shared" si="32"/>
        <v>3360.25</v>
      </c>
      <c r="D375" s="24">
        <f t="shared" si="33"/>
        <v>22.75</v>
      </c>
      <c r="E375" s="24">
        <f t="shared" si="34"/>
        <v>3907.25</v>
      </c>
      <c r="F375" s="25">
        <f t="shared" si="35"/>
        <v>12056.982955201234</v>
      </c>
      <c r="G375" s="19"/>
      <c r="H375" s="20">
        <f t="shared" si="30"/>
        <v>3461.3462080633735</v>
      </c>
      <c r="I375" s="20">
        <f t="shared" si="31"/>
        <v>-78.346208063373524</v>
      </c>
    </row>
    <row r="376" spans="1:9" ht="15" customHeight="1" x14ac:dyDescent="0.3">
      <c r="A376" s="17">
        <v>374</v>
      </c>
      <c r="B376" s="17">
        <v>3215</v>
      </c>
      <c r="C376" s="23">
        <f t="shared" si="32"/>
        <v>3386.25</v>
      </c>
      <c r="D376" s="23">
        <f t="shared" si="33"/>
        <v>-171.25</v>
      </c>
      <c r="E376" s="23">
        <f t="shared" si="34"/>
        <v>3713.25</v>
      </c>
      <c r="F376" s="26">
        <f t="shared" si="35"/>
        <v>11838.754261199691</v>
      </c>
      <c r="G376" s="19"/>
      <c r="H376" s="23">
        <f t="shared" si="30"/>
        <v>3445.6769664506987</v>
      </c>
      <c r="I376" s="23">
        <f t="shared" si="31"/>
        <v>-230.67696645069873</v>
      </c>
    </row>
    <row r="377" spans="1:9" ht="15" customHeight="1" x14ac:dyDescent="0.3">
      <c r="A377" s="17">
        <v>375</v>
      </c>
      <c r="B377" s="17">
        <v>3247</v>
      </c>
      <c r="C377" s="24">
        <f t="shared" si="32"/>
        <v>3391.25</v>
      </c>
      <c r="D377" s="24">
        <f t="shared" si="33"/>
        <v>-144.25</v>
      </c>
      <c r="E377" s="24">
        <f t="shared" si="34"/>
        <v>3740.25</v>
      </c>
      <c r="F377" s="25">
        <f t="shared" si="35"/>
        <v>11946.754261199691</v>
      </c>
      <c r="G377" s="19"/>
      <c r="H377" s="20">
        <f t="shared" si="30"/>
        <v>3399.541573160559</v>
      </c>
      <c r="I377" s="20">
        <f t="shared" si="31"/>
        <v>-152.54157316055898</v>
      </c>
    </row>
    <row r="378" spans="1:9" ht="15" customHeight="1" x14ac:dyDescent="0.3">
      <c r="A378" s="17">
        <v>376</v>
      </c>
      <c r="B378" s="17">
        <v>3215</v>
      </c>
      <c r="C378" s="23">
        <f t="shared" si="32"/>
        <v>3341.25</v>
      </c>
      <c r="D378" s="23">
        <f t="shared" si="33"/>
        <v>-126.25</v>
      </c>
      <c r="E378" s="23">
        <f t="shared" si="34"/>
        <v>3758.25</v>
      </c>
      <c r="F378" s="26">
        <f t="shared" si="35"/>
        <v>12018.754261199691</v>
      </c>
      <c r="G378" s="19"/>
      <c r="H378" s="23">
        <f t="shared" si="30"/>
        <v>3369.0332585284473</v>
      </c>
      <c r="I378" s="23">
        <f t="shared" si="31"/>
        <v>-154.03325852844728</v>
      </c>
    </row>
    <row r="379" spans="1:9" ht="15" customHeight="1" x14ac:dyDescent="0.3">
      <c r="A379" s="17">
        <v>377</v>
      </c>
      <c r="B379" s="17">
        <v>3333</v>
      </c>
      <c r="C379" s="24">
        <f t="shared" si="32"/>
        <v>3265</v>
      </c>
      <c r="D379" s="24">
        <f t="shared" si="33"/>
        <v>68</v>
      </c>
      <c r="E379" s="24">
        <f t="shared" si="34"/>
        <v>3952.5</v>
      </c>
      <c r="F379" s="25">
        <f t="shared" si="35"/>
        <v>12056.982955201234</v>
      </c>
      <c r="G379" s="19"/>
      <c r="H379" s="20">
        <f t="shared" si="30"/>
        <v>3338.2266068227582</v>
      </c>
      <c r="I379" s="20">
        <f t="shared" si="31"/>
        <v>-5.2266068227581854</v>
      </c>
    </row>
    <row r="380" spans="1:9" ht="15" customHeight="1" x14ac:dyDescent="0.3">
      <c r="A380" s="17">
        <v>378</v>
      </c>
      <c r="B380" s="17">
        <v>4008</v>
      </c>
      <c r="C380" s="23">
        <f t="shared" si="32"/>
        <v>3252.5</v>
      </c>
      <c r="D380" s="23">
        <f t="shared" si="33"/>
        <v>755.5</v>
      </c>
      <c r="E380" s="23">
        <f t="shared" si="34"/>
        <v>4640</v>
      </c>
      <c r="F380" s="26">
        <f t="shared" si="35"/>
        <v>12056.982955201234</v>
      </c>
      <c r="G380" s="19"/>
      <c r="H380" s="23">
        <f t="shared" si="30"/>
        <v>3337.1812854582067</v>
      </c>
      <c r="I380" s="23">
        <f t="shared" si="31"/>
        <v>670.81871454179327</v>
      </c>
    </row>
    <row r="381" spans="1:9" ht="15" customHeight="1" x14ac:dyDescent="0.3">
      <c r="A381" s="17">
        <v>379</v>
      </c>
      <c r="B381" s="17">
        <v>3227</v>
      </c>
      <c r="C381" s="24">
        <f t="shared" si="32"/>
        <v>3450.75</v>
      </c>
      <c r="D381" s="24">
        <f t="shared" si="33"/>
        <v>-223.75</v>
      </c>
      <c r="E381" s="24">
        <f t="shared" si="34"/>
        <v>3660.75</v>
      </c>
      <c r="F381" s="25">
        <f t="shared" si="35"/>
        <v>11628.754261199691</v>
      </c>
      <c r="G381" s="19"/>
      <c r="H381" s="20">
        <f t="shared" si="30"/>
        <v>3471.3450283665657</v>
      </c>
      <c r="I381" s="20">
        <f t="shared" si="31"/>
        <v>-244.34502836656566</v>
      </c>
    </row>
    <row r="382" spans="1:9" ht="15" customHeight="1" x14ac:dyDescent="0.3">
      <c r="A382" s="17">
        <v>380</v>
      </c>
      <c r="B382" s="17">
        <v>3726</v>
      </c>
      <c r="C382" s="23">
        <f t="shared" si="32"/>
        <v>3445.75</v>
      </c>
      <c r="D382" s="23">
        <f t="shared" si="33"/>
        <v>280.25</v>
      </c>
      <c r="E382" s="23">
        <f t="shared" si="34"/>
        <v>4164.75</v>
      </c>
      <c r="F382" s="26">
        <f t="shared" si="35"/>
        <v>12056.982955201234</v>
      </c>
      <c r="G382" s="19"/>
      <c r="H382" s="23">
        <f t="shared" si="30"/>
        <v>3422.4760226932526</v>
      </c>
      <c r="I382" s="23">
        <f t="shared" si="31"/>
        <v>303.52397730674738</v>
      </c>
    </row>
    <row r="383" spans="1:9" ht="15" customHeight="1" x14ac:dyDescent="0.3">
      <c r="A383" s="17">
        <v>381</v>
      </c>
      <c r="B383" s="17">
        <v>3511</v>
      </c>
      <c r="C383" s="24">
        <f t="shared" si="32"/>
        <v>3573.5</v>
      </c>
      <c r="D383" s="24">
        <f t="shared" si="33"/>
        <v>-62.5</v>
      </c>
      <c r="E383" s="24">
        <f t="shared" si="34"/>
        <v>3822</v>
      </c>
      <c r="F383" s="25">
        <f t="shared" si="35"/>
        <v>12056.982955201234</v>
      </c>
      <c r="G383" s="19"/>
      <c r="H383" s="20">
        <f t="shared" si="30"/>
        <v>3483.1808181546021</v>
      </c>
      <c r="I383" s="20">
        <f t="shared" si="31"/>
        <v>27.819181845397907</v>
      </c>
    </row>
    <row r="384" spans="1:9" ht="15" customHeight="1" x14ac:dyDescent="0.3">
      <c r="A384" s="17">
        <v>382</v>
      </c>
      <c r="B384" s="17">
        <v>3726</v>
      </c>
      <c r="C384" s="23">
        <f t="shared" si="32"/>
        <v>3618</v>
      </c>
      <c r="D384" s="23">
        <f t="shared" si="33"/>
        <v>108</v>
      </c>
      <c r="E384" s="23">
        <f t="shared" si="34"/>
        <v>3992.5</v>
      </c>
      <c r="F384" s="26">
        <f t="shared" si="35"/>
        <v>12056.982955201234</v>
      </c>
      <c r="G384" s="19"/>
      <c r="H384" s="23">
        <f t="shared" si="30"/>
        <v>3488.7446545236817</v>
      </c>
      <c r="I384" s="23">
        <f t="shared" si="31"/>
        <v>237.25534547631833</v>
      </c>
    </row>
    <row r="385" spans="1:9" ht="15" customHeight="1" x14ac:dyDescent="0.3">
      <c r="A385" s="17">
        <v>383</v>
      </c>
      <c r="B385" s="17">
        <v>3705</v>
      </c>
      <c r="C385" s="24">
        <f t="shared" si="32"/>
        <v>3547.5</v>
      </c>
      <c r="D385" s="24">
        <f t="shared" si="33"/>
        <v>157.5</v>
      </c>
      <c r="E385" s="24">
        <f t="shared" si="34"/>
        <v>4042</v>
      </c>
      <c r="F385" s="25">
        <f t="shared" si="35"/>
        <v>12056.982955201234</v>
      </c>
      <c r="G385" s="19"/>
      <c r="H385" s="20">
        <f t="shared" si="30"/>
        <v>3536.1957236189455</v>
      </c>
      <c r="I385" s="20">
        <f t="shared" si="31"/>
        <v>168.80427638105448</v>
      </c>
    </row>
    <row r="386" spans="1:9" ht="15" customHeight="1" x14ac:dyDescent="0.3">
      <c r="A386" s="17">
        <v>384</v>
      </c>
      <c r="B386" s="17">
        <v>3319</v>
      </c>
      <c r="C386" s="23">
        <f t="shared" si="32"/>
        <v>3667</v>
      </c>
      <c r="D386" s="23">
        <f t="shared" si="33"/>
        <v>-348</v>
      </c>
      <c r="E386" s="23">
        <f t="shared" si="34"/>
        <v>3536.5</v>
      </c>
      <c r="F386" s="26">
        <f t="shared" si="35"/>
        <v>11131.754261199691</v>
      </c>
      <c r="G386" s="19"/>
      <c r="H386" s="23">
        <f t="shared" si="30"/>
        <v>3569.9565788951568</v>
      </c>
      <c r="I386" s="23">
        <f t="shared" si="31"/>
        <v>-250.95657889515678</v>
      </c>
    </row>
    <row r="387" spans="1:9" ht="15" customHeight="1" x14ac:dyDescent="0.3">
      <c r="A387" s="17">
        <v>385</v>
      </c>
      <c r="B387" s="17">
        <v>3222</v>
      </c>
      <c r="C387" s="24">
        <f t="shared" si="32"/>
        <v>3565.25</v>
      </c>
      <c r="D387" s="24">
        <f t="shared" si="33"/>
        <v>-343.25</v>
      </c>
      <c r="E387" s="24">
        <f t="shared" si="34"/>
        <v>3541.25</v>
      </c>
      <c r="F387" s="25">
        <f t="shared" si="35"/>
        <v>11150.754261199691</v>
      </c>
      <c r="G387" s="19"/>
      <c r="H387" s="20">
        <f t="shared" si="30"/>
        <v>3519.7652631161259</v>
      </c>
      <c r="I387" s="20">
        <f t="shared" si="31"/>
        <v>-297.76526311612588</v>
      </c>
    </row>
    <row r="388" spans="1:9" ht="15" customHeight="1" x14ac:dyDescent="0.3">
      <c r="A388" s="17">
        <v>386</v>
      </c>
      <c r="B388" s="17">
        <v>3624</v>
      </c>
      <c r="C388" s="23">
        <f t="shared" si="32"/>
        <v>3493</v>
      </c>
      <c r="D388" s="23">
        <f t="shared" si="33"/>
        <v>131</v>
      </c>
      <c r="E388" s="23">
        <f t="shared" si="34"/>
        <v>4015.5</v>
      </c>
      <c r="F388" s="26">
        <f t="shared" si="35"/>
        <v>12056.982955201234</v>
      </c>
      <c r="G388" s="19"/>
      <c r="H388" s="23">
        <f t="shared" ref="H388:H451" si="36">0.2*B387+0.8*H387</f>
        <v>3460.2122104929008</v>
      </c>
      <c r="I388" s="23">
        <f t="shared" ref="I388:I451" si="37">B388-H388</f>
        <v>163.78778950709921</v>
      </c>
    </row>
    <row r="389" spans="1:9" ht="15" customHeight="1" x14ac:dyDescent="0.3">
      <c r="A389" s="17">
        <v>387</v>
      </c>
      <c r="B389" s="17">
        <v>3445</v>
      </c>
      <c r="C389" s="24">
        <f t="shared" si="32"/>
        <v>3467.5</v>
      </c>
      <c r="D389" s="24">
        <f t="shared" si="33"/>
        <v>-22.5</v>
      </c>
      <c r="E389" s="24">
        <f t="shared" si="34"/>
        <v>3862</v>
      </c>
      <c r="F389" s="25">
        <f t="shared" si="35"/>
        <v>12056.982955201234</v>
      </c>
      <c r="G389" s="19"/>
      <c r="H389" s="20">
        <f t="shared" si="36"/>
        <v>3492.9697683943209</v>
      </c>
      <c r="I389" s="20">
        <f t="shared" si="37"/>
        <v>-47.969768394320909</v>
      </c>
    </row>
    <row r="390" spans="1:9" ht="15" customHeight="1" x14ac:dyDescent="0.3">
      <c r="A390" s="17">
        <v>388</v>
      </c>
      <c r="B390" s="17">
        <v>3298</v>
      </c>
      <c r="C390" s="23">
        <f t="shared" si="32"/>
        <v>3402.5</v>
      </c>
      <c r="D390" s="23">
        <f t="shared" si="33"/>
        <v>-104.5</v>
      </c>
      <c r="E390" s="23">
        <f t="shared" si="34"/>
        <v>3780</v>
      </c>
      <c r="F390" s="26">
        <f t="shared" si="35"/>
        <v>12056.982955201234</v>
      </c>
      <c r="G390" s="19"/>
      <c r="H390" s="23">
        <f t="shared" si="36"/>
        <v>3483.3758147154567</v>
      </c>
      <c r="I390" s="23">
        <f t="shared" si="37"/>
        <v>-185.37581471545673</v>
      </c>
    </row>
    <row r="391" spans="1:9" ht="15" customHeight="1" x14ac:dyDescent="0.3">
      <c r="A391" s="17">
        <v>389</v>
      </c>
      <c r="B391" s="17">
        <v>3626</v>
      </c>
      <c r="C391" s="24">
        <f t="shared" ref="C391:C454" si="38">AVERAGE(B387:B390)</f>
        <v>3397.25</v>
      </c>
      <c r="D391" s="24">
        <f t="shared" ref="D391:D454" si="39">B391-C391</f>
        <v>228.75</v>
      </c>
      <c r="E391" s="24">
        <f t="shared" ref="E391:E454" si="40">$C$502+D391</f>
        <v>4113.25</v>
      </c>
      <c r="F391" s="25">
        <f t="shared" ref="F391:F454" si="41">4*MIN(E391,$E$509)-0.8*$E$509</f>
        <v>12056.982955201234</v>
      </c>
      <c r="G391" s="19"/>
      <c r="H391" s="20">
        <f t="shared" si="36"/>
        <v>3446.3006517723657</v>
      </c>
      <c r="I391" s="20">
        <f t="shared" si="37"/>
        <v>179.69934822763435</v>
      </c>
    </row>
    <row r="392" spans="1:9" ht="15" customHeight="1" x14ac:dyDescent="0.3">
      <c r="A392" s="17">
        <v>390</v>
      </c>
      <c r="B392" s="17">
        <v>3887</v>
      </c>
      <c r="C392" s="23">
        <f t="shared" si="38"/>
        <v>3498.25</v>
      </c>
      <c r="D392" s="23">
        <f t="shared" si="39"/>
        <v>388.75</v>
      </c>
      <c r="E392" s="23">
        <f t="shared" si="40"/>
        <v>4273.25</v>
      </c>
      <c r="F392" s="26">
        <f t="shared" si="41"/>
        <v>12056.982955201234</v>
      </c>
      <c r="G392" s="19"/>
      <c r="H392" s="23">
        <f t="shared" si="36"/>
        <v>3482.2405214178925</v>
      </c>
      <c r="I392" s="23">
        <f t="shared" si="37"/>
        <v>404.75947858210748</v>
      </c>
    </row>
    <row r="393" spans="1:9" ht="15" customHeight="1" x14ac:dyDescent="0.3">
      <c r="A393" s="17">
        <v>391</v>
      </c>
      <c r="B393" s="17">
        <v>3408</v>
      </c>
      <c r="C393" s="24">
        <f t="shared" si="38"/>
        <v>3564</v>
      </c>
      <c r="D393" s="24">
        <f t="shared" si="39"/>
        <v>-156</v>
      </c>
      <c r="E393" s="24">
        <f t="shared" si="40"/>
        <v>3728.5</v>
      </c>
      <c r="F393" s="25">
        <f t="shared" si="41"/>
        <v>11899.754261199691</v>
      </c>
      <c r="G393" s="19"/>
      <c r="H393" s="20">
        <f t="shared" si="36"/>
        <v>3563.1924171343144</v>
      </c>
      <c r="I393" s="20">
        <f t="shared" si="37"/>
        <v>-155.19241713431438</v>
      </c>
    </row>
    <row r="394" spans="1:9" ht="15" customHeight="1" x14ac:dyDescent="0.3">
      <c r="A394" s="17">
        <v>392</v>
      </c>
      <c r="B394" s="17">
        <v>3431</v>
      </c>
      <c r="C394" s="23">
        <f t="shared" si="38"/>
        <v>3554.75</v>
      </c>
      <c r="D394" s="23">
        <f t="shared" si="39"/>
        <v>-123.75</v>
      </c>
      <c r="E394" s="23">
        <f t="shared" si="40"/>
        <v>3760.75</v>
      </c>
      <c r="F394" s="26">
        <f t="shared" si="41"/>
        <v>12028.754261199691</v>
      </c>
      <c r="G394" s="19"/>
      <c r="H394" s="23">
        <f t="shared" si="36"/>
        <v>3532.1539337074514</v>
      </c>
      <c r="I394" s="23">
        <f t="shared" si="37"/>
        <v>-101.15393370745142</v>
      </c>
    </row>
    <row r="395" spans="1:9" ht="15" customHeight="1" x14ac:dyDescent="0.3">
      <c r="A395" s="17">
        <v>393</v>
      </c>
      <c r="B395" s="17">
        <v>3550</v>
      </c>
      <c r="C395" s="24">
        <f t="shared" si="38"/>
        <v>3588</v>
      </c>
      <c r="D395" s="24">
        <f t="shared" si="39"/>
        <v>-38</v>
      </c>
      <c r="E395" s="24">
        <f t="shared" si="40"/>
        <v>3846.5</v>
      </c>
      <c r="F395" s="25">
        <f t="shared" si="41"/>
        <v>12056.982955201234</v>
      </c>
      <c r="G395" s="19"/>
      <c r="H395" s="20">
        <f t="shared" si="36"/>
        <v>3511.9231469659617</v>
      </c>
      <c r="I395" s="20">
        <f t="shared" si="37"/>
        <v>38.076853034038322</v>
      </c>
    </row>
    <row r="396" spans="1:9" ht="15" customHeight="1" x14ac:dyDescent="0.3">
      <c r="A396" s="17">
        <v>394</v>
      </c>
      <c r="B396" s="17">
        <v>3878</v>
      </c>
      <c r="C396" s="23">
        <f t="shared" si="38"/>
        <v>3569</v>
      </c>
      <c r="D396" s="23">
        <f t="shared" si="39"/>
        <v>309</v>
      </c>
      <c r="E396" s="23">
        <f t="shared" si="40"/>
        <v>4193.5</v>
      </c>
      <c r="F396" s="26">
        <f t="shared" si="41"/>
        <v>12056.982955201234</v>
      </c>
      <c r="G396" s="19"/>
      <c r="H396" s="23">
        <f t="shared" si="36"/>
        <v>3519.5385175727697</v>
      </c>
      <c r="I396" s="23">
        <f t="shared" si="37"/>
        <v>358.46148242723029</v>
      </c>
    </row>
    <row r="397" spans="1:9" ht="15" customHeight="1" x14ac:dyDescent="0.3">
      <c r="A397" s="17">
        <v>395</v>
      </c>
      <c r="B397" s="17">
        <v>3516</v>
      </c>
      <c r="C397" s="24">
        <f t="shared" si="38"/>
        <v>3566.75</v>
      </c>
      <c r="D397" s="24">
        <f t="shared" si="39"/>
        <v>-50.75</v>
      </c>
      <c r="E397" s="24">
        <f t="shared" si="40"/>
        <v>3833.75</v>
      </c>
      <c r="F397" s="25">
        <f t="shared" si="41"/>
        <v>12056.982955201234</v>
      </c>
      <c r="G397" s="19"/>
      <c r="H397" s="20">
        <f t="shared" si="36"/>
        <v>3591.2308140582159</v>
      </c>
      <c r="I397" s="20">
        <f t="shared" si="37"/>
        <v>-75.230814058215856</v>
      </c>
    </row>
    <row r="398" spans="1:9" ht="15" customHeight="1" x14ac:dyDescent="0.3">
      <c r="A398" s="17">
        <v>396</v>
      </c>
      <c r="B398" s="17">
        <v>3814</v>
      </c>
      <c r="C398" s="23">
        <f t="shared" si="38"/>
        <v>3593.75</v>
      </c>
      <c r="D398" s="23">
        <f t="shared" si="39"/>
        <v>220.25</v>
      </c>
      <c r="E398" s="23">
        <f t="shared" si="40"/>
        <v>4104.75</v>
      </c>
      <c r="F398" s="26">
        <f t="shared" si="41"/>
        <v>12056.982955201234</v>
      </c>
      <c r="G398" s="19"/>
      <c r="H398" s="23">
        <f t="shared" si="36"/>
        <v>3576.1846512465727</v>
      </c>
      <c r="I398" s="23">
        <f t="shared" si="37"/>
        <v>237.81534875342732</v>
      </c>
    </row>
    <row r="399" spans="1:9" ht="15" customHeight="1" x14ac:dyDescent="0.3">
      <c r="A399" s="17">
        <v>397</v>
      </c>
      <c r="B399" s="17">
        <v>3775</v>
      </c>
      <c r="C399" s="24">
        <f t="shared" si="38"/>
        <v>3689.5</v>
      </c>
      <c r="D399" s="24">
        <f t="shared" si="39"/>
        <v>85.5</v>
      </c>
      <c r="E399" s="24">
        <f t="shared" si="40"/>
        <v>3970</v>
      </c>
      <c r="F399" s="25">
        <f t="shared" si="41"/>
        <v>12056.982955201234</v>
      </c>
      <c r="G399" s="19"/>
      <c r="H399" s="20">
        <f t="shared" si="36"/>
        <v>3623.7477209972585</v>
      </c>
      <c r="I399" s="20">
        <f t="shared" si="37"/>
        <v>151.25227900274149</v>
      </c>
    </row>
    <row r="400" spans="1:9" ht="15" customHeight="1" x14ac:dyDescent="0.3">
      <c r="A400" s="17">
        <v>398</v>
      </c>
      <c r="B400" s="17">
        <v>3797</v>
      </c>
      <c r="C400" s="23">
        <f t="shared" si="38"/>
        <v>3745.75</v>
      </c>
      <c r="D400" s="23">
        <f t="shared" si="39"/>
        <v>51.25</v>
      </c>
      <c r="E400" s="23">
        <f t="shared" si="40"/>
        <v>3935.75</v>
      </c>
      <c r="F400" s="26">
        <f t="shared" si="41"/>
        <v>12056.982955201234</v>
      </c>
      <c r="G400" s="19"/>
      <c r="H400" s="23">
        <f t="shared" si="36"/>
        <v>3653.998176797807</v>
      </c>
      <c r="I400" s="23">
        <f t="shared" si="37"/>
        <v>143.00182320219301</v>
      </c>
    </row>
    <row r="401" spans="1:9" ht="15" customHeight="1" x14ac:dyDescent="0.3">
      <c r="A401" s="17">
        <v>399</v>
      </c>
      <c r="B401" s="17">
        <v>3873</v>
      </c>
      <c r="C401" s="24">
        <f t="shared" si="38"/>
        <v>3725.5</v>
      </c>
      <c r="D401" s="24">
        <f t="shared" si="39"/>
        <v>147.5</v>
      </c>
      <c r="E401" s="24">
        <f t="shared" si="40"/>
        <v>4032</v>
      </c>
      <c r="F401" s="25">
        <f t="shared" si="41"/>
        <v>12056.982955201234</v>
      </c>
      <c r="G401" s="19"/>
      <c r="H401" s="20">
        <f t="shared" si="36"/>
        <v>3682.5985414382458</v>
      </c>
      <c r="I401" s="20">
        <f t="shared" si="37"/>
        <v>190.40145856175423</v>
      </c>
    </row>
    <row r="402" spans="1:9" ht="15" customHeight="1" x14ac:dyDescent="0.3">
      <c r="A402" s="17">
        <v>400</v>
      </c>
      <c r="B402" s="17">
        <v>3335</v>
      </c>
      <c r="C402" s="23">
        <f t="shared" si="38"/>
        <v>3814.75</v>
      </c>
      <c r="D402" s="23">
        <f t="shared" si="39"/>
        <v>-479.75</v>
      </c>
      <c r="E402" s="23">
        <f t="shared" si="40"/>
        <v>3404.75</v>
      </c>
      <c r="F402" s="26">
        <f t="shared" si="41"/>
        <v>10604.754261199691</v>
      </c>
      <c r="G402" s="19"/>
      <c r="H402" s="23">
        <f t="shared" si="36"/>
        <v>3720.6788331505968</v>
      </c>
      <c r="I402" s="23">
        <f t="shared" si="37"/>
        <v>-385.6788331505968</v>
      </c>
    </row>
    <row r="403" spans="1:9" ht="15" customHeight="1" x14ac:dyDescent="0.3">
      <c r="A403" s="17">
        <v>401</v>
      </c>
      <c r="B403" s="17">
        <v>3941</v>
      </c>
      <c r="C403" s="24">
        <f t="shared" si="38"/>
        <v>3695</v>
      </c>
      <c r="D403" s="24">
        <f t="shared" si="39"/>
        <v>246</v>
      </c>
      <c r="E403" s="24">
        <f t="shared" si="40"/>
        <v>4130.5</v>
      </c>
      <c r="F403" s="25">
        <f t="shared" si="41"/>
        <v>12056.982955201234</v>
      </c>
      <c r="G403" s="19"/>
      <c r="H403" s="20">
        <f t="shared" si="36"/>
        <v>3643.5430665204776</v>
      </c>
      <c r="I403" s="20">
        <f t="shared" si="37"/>
        <v>297.45693347952238</v>
      </c>
    </row>
    <row r="404" spans="1:9" ht="15" customHeight="1" x14ac:dyDescent="0.3">
      <c r="A404" s="17">
        <v>402</v>
      </c>
      <c r="B404" s="17">
        <v>3176</v>
      </c>
      <c r="C404" s="23">
        <f t="shared" si="38"/>
        <v>3736.5</v>
      </c>
      <c r="D404" s="23">
        <f t="shared" si="39"/>
        <v>-560.5</v>
      </c>
      <c r="E404" s="23">
        <f t="shared" si="40"/>
        <v>3324</v>
      </c>
      <c r="F404" s="26">
        <f t="shared" si="41"/>
        <v>10281.754261199691</v>
      </c>
      <c r="G404" s="19"/>
      <c r="H404" s="23">
        <f t="shared" si="36"/>
        <v>3703.0344532163826</v>
      </c>
      <c r="I404" s="23">
        <f t="shared" si="37"/>
        <v>-527.03445321638264</v>
      </c>
    </row>
    <row r="405" spans="1:9" ht="15" customHeight="1" x14ac:dyDescent="0.3">
      <c r="A405" s="17">
        <v>403</v>
      </c>
      <c r="B405" s="17">
        <v>3872</v>
      </c>
      <c r="C405" s="24">
        <f t="shared" si="38"/>
        <v>3581.25</v>
      </c>
      <c r="D405" s="24">
        <f t="shared" si="39"/>
        <v>290.75</v>
      </c>
      <c r="E405" s="24">
        <f t="shared" si="40"/>
        <v>4175.25</v>
      </c>
      <c r="F405" s="25">
        <f t="shared" si="41"/>
        <v>12056.982955201234</v>
      </c>
      <c r="G405" s="19"/>
      <c r="H405" s="20">
        <f t="shared" si="36"/>
        <v>3597.6275625731059</v>
      </c>
      <c r="I405" s="20">
        <f t="shared" si="37"/>
        <v>274.37243742689407</v>
      </c>
    </row>
    <row r="406" spans="1:9" ht="15" customHeight="1" x14ac:dyDescent="0.3">
      <c r="A406" s="17">
        <v>404</v>
      </c>
      <c r="B406" s="17">
        <v>3567</v>
      </c>
      <c r="C406" s="23">
        <f t="shared" si="38"/>
        <v>3581</v>
      </c>
      <c r="D406" s="23">
        <f t="shared" si="39"/>
        <v>-14</v>
      </c>
      <c r="E406" s="23">
        <f t="shared" si="40"/>
        <v>3870.5</v>
      </c>
      <c r="F406" s="26">
        <f t="shared" si="41"/>
        <v>12056.982955201234</v>
      </c>
      <c r="G406" s="19"/>
      <c r="H406" s="23">
        <f t="shared" si="36"/>
        <v>3652.5020500584851</v>
      </c>
      <c r="I406" s="23">
        <f t="shared" si="37"/>
        <v>-85.502050058485111</v>
      </c>
    </row>
    <row r="407" spans="1:9" ht="15" customHeight="1" x14ac:dyDescent="0.3">
      <c r="A407" s="17">
        <v>405</v>
      </c>
      <c r="B407" s="17">
        <v>3123</v>
      </c>
      <c r="C407" s="24">
        <f t="shared" si="38"/>
        <v>3639</v>
      </c>
      <c r="D407" s="24">
        <f t="shared" si="39"/>
        <v>-516</v>
      </c>
      <c r="E407" s="24">
        <f t="shared" si="40"/>
        <v>3368.5</v>
      </c>
      <c r="F407" s="25">
        <f t="shared" si="41"/>
        <v>10459.754261199691</v>
      </c>
      <c r="G407" s="19"/>
      <c r="H407" s="20">
        <f t="shared" si="36"/>
        <v>3635.4016400467885</v>
      </c>
      <c r="I407" s="20">
        <f t="shared" si="37"/>
        <v>-512.40164004678854</v>
      </c>
    </row>
    <row r="408" spans="1:9" ht="15" customHeight="1" x14ac:dyDescent="0.3">
      <c r="A408" s="17">
        <v>406</v>
      </c>
      <c r="B408" s="17">
        <v>3690</v>
      </c>
      <c r="C408" s="23">
        <f t="shared" si="38"/>
        <v>3434.5</v>
      </c>
      <c r="D408" s="23">
        <f t="shared" si="39"/>
        <v>255.5</v>
      </c>
      <c r="E408" s="23">
        <f t="shared" si="40"/>
        <v>4140</v>
      </c>
      <c r="F408" s="26">
        <f t="shared" si="41"/>
        <v>12056.982955201234</v>
      </c>
      <c r="G408" s="19"/>
      <c r="H408" s="23">
        <f t="shared" si="36"/>
        <v>3532.9213120374311</v>
      </c>
      <c r="I408" s="23">
        <f t="shared" si="37"/>
        <v>157.07868796256889</v>
      </c>
    </row>
    <row r="409" spans="1:9" ht="15" customHeight="1" x14ac:dyDescent="0.3">
      <c r="A409" s="17">
        <v>407</v>
      </c>
      <c r="B409" s="17">
        <v>3790</v>
      </c>
      <c r="C409" s="24">
        <f t="shared" si="38"/>
        <v>3563</v>
      </c>
      <c r="D409" s="24">
        <f t="shared" si="39"/>
        <v>227</v>
      </c>
      <c r="E409" s="24">
        <f t="shared" si="40"/>
        <v>4111.5</v>
      </c>
      <c r="F409" s="25">
        <f t="shared" si="41"/>
        <v>12056.982955201234</v>
      </c>
      <c r="G409" s="19"/>
      <c r="H409" s="20">
        <f t="shared" si="36"/>
        <v>3564.3370496299449</v>
      </c>
      <c r="I409" s="20">
        <f t="shared" si="37"/>
        <v>225.66295037005511</v>
      </c>
    </row>
    <row r="410" spans="1:9" ht="15" customHeight="1" x14ac:dyDescent="0.3">
      <c r="A410" s="17">
        <v>408</v>
      </c>
      <c r="B410" s="17">
        <v>3263</v>
      </c>
      <c r="C410" s="23">
        <f t="shared" si="38"/>
        <v>3542.5</v>
      </c>
      <c r="D410" s="23">
        <f t="shared" si="39"/>
        <v>-279.5</v>
      </c>
      <c r="E410" s="23">
        <f t="shared" si="40"/>
        <v>3605</v>
      </c>
      <c r="F410" s="26">
        <f t="shared" si="41"/>
        <v>11405.754261199691</v>
      </c>
      <c r="G410" s="19"/>
      <c r="H410" s="23">
        <f t="shared" si="36"/>
        <v>3609.4696397039561</v>
      </c>
      <c r="I410" s="23">
        <f t="shared" si="37"/>
        <v>-346.46963970395609</v>
      </c>
    </row>
    <row r="411" spans="1:9" ht="15" customHeight="1" x14ac:dyDescent="0.3">
      <c r="A411" s="17">
        <v>409</v>
      </c>
      <c r="B411" s="17">
        <v>3513</v>
      </c>
      <c r="C411" s="24">
        <f t="shared" si="38"/>
        <v>3466.5</v>
      </c>
      <c r="D411" s="24">
        <f t="shared" si="39"/>
        <v>46.5</v>
      </c>
      <c r="E411" s="24">
        <f t="shared" si="40"/>
        <v>3931</v>
      </c>
      <c r="F411" s="25">
        <f t="shared" si="41"/>
        <v>12056.982955201234</v>
      </c>
      <c r="G411" s="19"/>
      <c r="H411" s="20">
        <f t="shared" si="36"/>
        <v>3540.1757117631651</v>
      </c>
      <c r="I411" s="20">
        <f t="shared" si="37"/>
        <v>-27.175711763165054</v>
      </c>
    </row>
    <row r="412" spans="1:9" ht="15" customHeight="1" x14ac:dyDescent="0.3">
      <c r="A412" s="17">
        <v>410</v>
      </c>
      <c r="B412" s="17">
        <v>3773</v>
      </c>
      <c r="C412" s="23">
        <f t="shared" si="38"/>
        <v>3564</v>
      </c>
      <c r="D412" s="23">
        <f t="shared" si="39"/>
        <v>209</v>
      </c>
      <c r="E412" s="23">
        <f t="shared" si="40"/>
        <v>4093.5</v>
      </c>
      <c r="F412" s="26">
        <f t="shared" si="41"/>
        <v>12056.982955201234</v>
      </c>
      <c r="G412" s="19"/>
      <c r="H412" s="23">
        <f t="shared" si="36"/>
        <v>3534.7405694105323</v>
      </c>
      <c r="I412" s="23">
        <f t="shared" si="37"/>
        <v>238.25943058946768</v>
      </c>
    </row>
    <row r="413" spans="1:9" ht="15" customHeight="1" x14ac:dyDescent="0.3">
      <c r="A413" s="17">
        <v>411</v>
      </c>
      <c r="B413" s="17">
        <v>3647</v>
      </c>
      <c r="C413" s="24">
        <f t="shared" si="38"/>
        <v>3584.75</v>
      </c>
      <c r="D413" s="24">
        <f t="shared" si="39"/>
        <v>62.25</v>
      </c>
      <c r="E413" s="24">
        <f t="shared" si="40"/>
        <v>3946.75</v>
      </c>
      <c r="F413" s="25">
        <f t="shared" si="41"/>
        <v>12056.982955201234</v>
      </c>
      <c r="G413" s="19"/>
      <c r="H413" s="20">
        <f t="shared" si="36"/>
        <v>3582.3924555284261</v>
      </c>
      <c r="I413" s="20">
        <f t="shared" si="37"/>
        <v>64.607544471573874</v>
      </c>
    </row>
    <row r="414" spans="1:9" ht="15" customHeight="1" x14ac:dyDescent="0.3">
      <c r="A414" s="17">
        <v>412</v>
      </c>
      <c r="B414" s="17">
        <v>3929</v>
      </c>
      <c r="C414" s="23">
        <f t="shared" si="38"/>
        <v>3549</v>
      </c>
      <c r="D414" s="23">
        <f t="shared" si="39"/>
        <v>380</v>
      </c>
      <c r="E414" s="23">
        <f t="shared" si="40"/>
        <v>4264.5</v>
      </c>
      <c r="F414" s="26">
        <f t="shared" si="41"/>
        <v>12056.982955201234</v>
      </c>
      <c r="G414" s="19"/>
      <c r="H414" s="23">
        <f t="shared" si="36"/>
        <v>3595.3139644227413</v>
      </c>
      <c r="I414" s="23">
        <f t="shared" si="37"/>
        <v>333.68603557725874</v>
      </c>
    </row>
    <row r="415" spans="1:9" ht="15" customHeight="1" x14ac:dyDescent="0.3">
      <c r="A415" s="17">
        <v>413</v>
      </c>
      <c r="B415" s="17">
        <v>3495</v>
      </c>
      <c r="C415" s="24">
        <f t="shared" si="38"/>
        <v>3715.5</v>
      </c>
      <c r="D415" s="24">
        <f t="shared" si="39"/>
        <v>-220.5</v>
      </c>
      <c r="E415" s="24">
        <f t="shared" si="40"/>
        <v>3664</v>
      </c>
      <c r="F415" s="25">
        <f t="shared" si="41"/>
        <v>11641.754261199691</v>
      </c>
      <c r="G415" s="19"/>
      <c r="H415" s="20">
        <f t="shared" si="36"/>
        <v>3662.0511715381936</v>
      </c>
      <c r="I415" s="20">
        <f t="shared" si="37"/>
        <v>-167.05117153819356</v>
      </c>
    </row>
    <row r="416" spans="1:9" ht="15" customHeight="1" x14ac:dyDescent="0.3">
      <c r="A416" s="17">
        <v>414</v>
      </c>
      <c r="B416" s="17">
        <v>3645</v>
      </c>
      <c r="C416" s="23">
        <f t="shared" si="38"/>
        <v>3711</v>
      </c>
      <c r="D416" s="23">
        <f t="shared" si="39"/>
        <v>-66</v>
      </c>
      <c r="E416" s="23">
        <f t="shared" si="40"/>
        <v>3818.5</v>
      </c>
      <c r="F416" s="26">
        <f t="shared" si="41"/>
        <v>12056.982955201234</v>
      </c>
      <c r="G416" s="19"/>
      <c r="H416" s="23">
        <f t="shared" si="36"/>
        <v>3628.6409372305552</v>
      </c>
      <c r="I416" s="23">
        <f t="shared" si="37"/>
        <v>16.35906276944479</v>
      </c>
    </row>
    <row r="417" spans="1:9" ht="15" customHeight="1" x14ac:dyDescent="0.3">
      <c r="A417" s="17">
        <v>415</v>
      </c>
      <c r="B417" s="17">
        <v>3501</v>
      </c>
      <c r="C417" s="24">
        <f t="shared" si="38"/>
        <v>3679</v>
      </c>
      <c r="D417" s="24">
        <f t="shared" si="39"/>
        <v>-178</v>
      </c>
      <c r="E417" s="24">
        <f t="shared" si="40"/>
        <v>3706.5</v>
      </c>
      <c r="F417" s="25">
        <f t="shared" si="41"/>
        <v>11811.754261199691</v>
      </c>
      <c r="G417" s="19"/>
      <c r="H417" s="20">
        <f t="shared" si="36"/>
        <v>3631.9127497844443</v>
      </c>
      <c r="I417" s="20">
        <f t="shared" si="37"/>
        <v>-130.91274978444426</v>
      </c>
    </row>
    <row r="418" spans="1:9" ht="15" customHeight="1" x14ac:dyDescent="0.3">
      <c r="A418" s="17">
        <v>416</v>
      </c>
      <c r="B418" s="17">
        <v>3317</v>
      </c>
      <c r="C418" s="23">
        <f t="shared" si="38"/>
        <v>3642.5</v>
      </c>
      <c r="D418" s="23">
        <f t="shared" si="39"/>
        <v>-325.5</v>
      </c>
      <c r="E418" s="23">
        <f t="shared" si="40"/>
        <v>3559</v>
      </c>
      <c r="F418" s="26">
        <f t="shared" si="41"/>
        <v>11221.754261199691</v>
      </c>
      <c r="G418" s="19"/>
      <c r="H418" s="23">
        <f t="shared" si="36"/>
        <v>3605.7301998275552</v>
      </c>
      <c r="I418" s="23">
        <f t="shared" si="37"/>
        <v>-288.73019982755523</v>
      </c>
    </row>
    <row r="419" spans="1:9" ht="15" customHeight="1" x14ac:dyDescent="0.3">
      <c r="A419" s="17">
        <v>417</v>
      </c>
      <c r="B419" s="17">
        <v>3620</v>
      </c>
      <c r="C419" s="24">
        <f t="shared" si="38"/>
        <v>3489.5</v>
      </c>
      <c r="D419" s="24">
        <f t="shared" si="39"/>
        <v>130.5</v>
      </c>
      <c r="E419" s="24">
        <f t="shared" si="40"/>
        <v>4015</v>
      </c>
      <c r="F419" s="25">
        <f t="shared" si="41"/>
        <v>12056.982955201234</v>
      </c>
      <c r="G419" s="19"/>
      <c r="H419" s="20">
        <f t="shared" si="36"/>
        <v>3547.9841598620446</v>
      </c>
      <c r="I419" s="20">
        <f t="shared" si="37"/>
        <v>72.015840137955365</v>
      </c>
    </row>
    <row r="420" spans="1:9" ht="15" customHeight="1" x14ac:dyDescent="0.3">
      <c r="A420" s="17">
        <v>418</v>
      </c>
      <c r="B420" s="17">
        <v>4020</v>
      </c>
      <c r="C420" s="23">
        <f t="shared" si="38"/>
        <v>3520.75</v>
      </c>
      <c r="D420" s="23">
        <f t="shared" si="39"/>
        <v>499.25</v>
      </c>
      <c r="E420" s="23">
        <f t="shared" si="40"/>
        <v>4383.75</v>
      </c>
      <c r="F420" s="26">
        <f t="shared" si="41"/>
        <v>12056.982955201234</v>
      </c>
      <c r="G420" s="19"/>
      <c r="H420" s="23">
        <f t="shared" si="36"/>
        <v>3562.3873278896358</v>
      </c>
      <c r="I420" s="23">
        <f t="shared" si="37"/>
        <v>457.6126721103642</v>
      </c>
    </row>
    <row r="421" spans="1:9" ht="15" customHeight="1" x14ac:dyDescent="0.3">
      <c r="A421" s="17">
        <v>419</v>
      </c>
      <c r="B421" s="17">
        <v>4160</v>
      </c>
      <c r="C421" s="24">
        <f t="shared" si="38"/>
        <v>3614.5</v>
      </c>
      <c r="D421" s="24">
        <f t="shared" si="39"/>
        <v>545.5</v>
      </c>
      <c r="E421" s="24">
        <f t="shared" si="40"/>
        <v>4430</v>
      </c>
      <c r="F421" s="25">
        <f t="shared" si="41"/>
        <v>12056.982955201234</v>
      </c>
      <c r="G421" s="19"/>
      <c r="H421" s="20">
        <f t="shared" si="36"/>
        <v>3653.9098623117088</v>
      </c>
      <c r="I421" s="20">
        <f t="shared" si="37"/>
        <v>506.09013768829118</v>
      </c>
    </row>
    <row r="422" spans="1:9" ht="15" customHeight="1" x14ac:dyDescent="0.3">
      <c r="A422" s="17">
        <v>420</v>
      </c>
      <c r="B422" s="17">
        <v>3440</v>
      </c>
      <c r="C422" s="23">
        <f t="shared" si="38"/>
        <v>3779.25</v>
      </c>
      <c r="D422" s="23">
        <f t="shared" si="39"/>
        <v>-339.25</v>
      </c>
      <c r="E422" s="23">
        <f t="shared" si="40"/>
        <v>3545.25</v>
      </c>
      <c r="F422" s="26">
        <f t="shared" si="41"/>
        <v>11166.754261199691</v>
      </c>
      <c r="G422" s="19"/>
      <c r="H422" s="23">
        <f t="shared" si="36"/>
        <v>3755.1278898493674</v>
      </c>
      <c r="I422" s="23">
        <f t="shared" si="37"/>
        <v>-315.12788984936742</v>
      </c>
    </row>
    <row r="423" spans="1:9" ht="15" customHeight="1" x14ac:dyDescent="0.3">
      <c r="A423" s="17">
        <v>421</v>
      </c>
      <c r="B423" s="17">
        <v>3585</v>
      </c>
      <c r="C423" s="24">
        <f t="shared" si="38"/>
        <v>3810</v>
      </c>
      <c r="D423" s="24">
        <f t="shared" si="39"/>
        <v>-225</v>
      </c>
      <c r="E423" s="24">
        <f t="shared" si="40"/>
        <v>3659.5</v>
      </c>
      <c r="F423" s="25">
        <f t="shared" si="41"/>
        <v>11623.754261199691</v>
      </c>
      <c r="G423" s="19"/>
      <c r="H423" s="20">
        <f t="shared" si="36"/>
        <v>3692.1023118794942</v>
      </c>
      <c r="I423" s="20">
        <f t="shared" si="37"/>
        <v>-107.10231187949421</v>
      </c>
    </row>
    <row r="424" spans="1:9" ht="15" customHeight="1" x14ac:dyDescent="0.3">
      <c r="A424" s="17">
        <v>422</v>
      </c>
      <c r="B424" s="17">
        <v>3516</v>
      </c>
      <c r="C424" s="23">
        <f t="shared" si="38"/>
        <v>3801.25</v>
      </c>
      <c r="D424" s="23">
        <f t="shared" si="39"/>
        <v>-285.25</v>
      </c>
      <c r="E424" s="23">
        <f t="shared" si="40"/>
        <v>3599.25</v>
      </c>
      <c r="F424" s="26">
        <f t="shared" si="41"/>
        <v>11382.754261199691</v>
      </c>
      <c r="G424" s="19"/>
      <c r="H424" s="23">
        <f t="shared" si="36"/>
        <v>3670.6818495035955</v>
      </c>
      <c r="I424" s="23">
        <f t="shared" si="37"/>
        <v>-154.68184950359546</v>
      </c>
    </row>
    <row r="425" spans="1:9" ht="15" customHeight="1" x14ac:dyDescent="0.3">
      <c r="A425" s="17">
        <v>423</v>
      </c>
      <c r="B425" s="17">
        <v>4015</v>
      </c>
      <c r="C425" s="24">
        <f t="shared" si="38"/>
        <v>3675.25</v>
      </c>
      <c r="D425" s="24">
        <f t="shared" si="39"/>
        <v>339.75</v>
      </c>
      <c r="E425" s="24">
        <f t="shared" si="40"/>
        <v>4224.25</v>
      </c>
      <c r="F425" s="25">
        <f t="shared" si="41"/>
        <v>12056.982955201234</v>
      </c>
      <c r="G425" s="19"/>
      <c r="H425" s="20">
        <f t="shared" si="36"/>
        <v>3639.7454796028769</v>
      </c>
      <c r="I425" s="20">
        <f t="shared" si="37"/>
        <v>375.25452039712309</v>
      </c>
    </row>
    <row r="426" spans="1:9" ht="15" customHeight="1" x14ac:dyDescent="0.3">
      <c r="A426" s="17">
        <v>424</v>
      </c>
      <c r="B426" s="17">
        <v>3265</v>
      </c>
      <c r="C426" s="23">
        <f t="shared" si="38"/>
        <v>3639</v>
      </c>
      <c r="D426" s="23">
        <f t="shared" si="39"/>
        <v>-374</v>
      </c>
      <c r="E426" s="23">
        <f t="shared" si="40"/>
        <v>3510.5</v>
      </c>
      <c r="F426" s="26">
        <f t="shared" si="41"/>
        <v>11027.754261199691</v>
      </c>
      <c r="G426" s="19"/>
      <c r="H426" s="23">
        <f t="shared" si="36"/>
        <v>3714.7963836823019</v>
      </c>
      <c r="I426" s="23">
        <f t="shared" si="37"/>
        <v>-449.79638368230189</v>
      </c>
    </row>
    <row r="427" spans="1:9" ht="15" customHeight="1" x14ac:dyDescent="0.3">
      <c r="A427" s="17">
        <v>425</v>
      </c>
      <c r="B427" s="17">
        <v>3958</v>
      </c>
      <c r="C427" s="24">
        <f t="shared" si="38"/>
        <v>3595.25</v>
      </c>
      <c r="D427" s="24">
        <f t="shared" si="39"/>
        <v>362.75</v>
      </c>
      <c r="E427" s="24">
        <f t="shared" si="40"/>
        <v>4247.25</v>
      </c>
      <c r="F427" s="25">
        <f t="shared" si="41"/>
        <v>12056.982955201234</v>
      </c>
      <c r="G427" s="19"/>
      <c r="H427" s="20">
        <f t="shared" si="36"/>
        <v>3624.8371069458417</v>
      </c>
      <c r="I427" s="20">
        <f t="shared" si="37"/>
        <v>333.1628930541583</v>
      </c>
    </row>
    <row r="428" spans="1:9" ht="15" customHeight="1" x14ac:dyDescent="0.3">
      <c r="A428" s="17">
        <v>426</v>
      </c>
      <c r="B428" s="17">
        <v>3771</v>
      </c>
      <c r="C428" s="23">
        <f t="shared" si="38"/>
        <v>3688.5</v>
      </c>
      <c r="D428" s="23">
        <f t="shared" si="39"/>
        <v>82.5</v>
      </c>
      <c r="E428" s="23">
        <f t="shared" si="40"/>
        <v>3967</v>
      </c>
      <c r="F428" s="26">
        <f t="shared" si="41"/>
        <v>12056.982955201234</v>
      </c>
      <c r="G428" s="19"/>
      <c r="H428" s="23">
        <f t="shared" si="36"/>
        <v>3691.4696855566735</v>
      </c>
      <c r="I428" s="23">
        <f t="shared" si="37"/>
        <v>79.530314443326461</v>
      </c>
    </row>
    <row r="429" spans="1:9" ht="15" customHeight="1" x14ac:dyDescent="0.3">
      <c r="A429" s="17">
        <v>427</v>
      </c>
      <c r="B429" s="17">
        <v>3535</v>
      </c>
      <c r="C429" s="24">
        <f t="shared" si="38"/>
        <v>3752.25</v>
      </c>
      <c r="D429" s="24">
        <f t="shared" si="39"/>
        <v>-217.25</v>
      </c>
      <c r="E429" s="24">
        <f t="shared" si="40"/>
        <v>3667.25</v>
      </c>
      <c r="F429" s="25">
        <f t="shared" si="41"/>
        <v>11654.754261199691</v>
      </c>
      <c r="G429" s="19"/>
      <c r="H429" s="20">
        <f t="shared" si="36"/>
        <v>3707.375748445339</v>
      </c>
      <c r="I429" s="20">
        <f t="shared" si="37"/>
        <v>-172.37574844533901</v>
      </c>
    </row>
    <row r="430" spans="1:9" ht="15" customHeight="1" x14ac:dyDescent="0.3">
      <c r="A430" s="17">
        <v>428</v>
      </c>
      <c r="B430" s="17">
        <v>4061</v>
      </c>
      <c r="C430" s="23">
        <f t="shared" si="38"/>
        <v>3632.25</v>
      </c>
      <c r="D430" s="23">
        <f t="shared" si="39"/>
        <v>428.75</v>
      </c>
      <c r="E430" s="23">
        <f t="shared" si="40"/>
        <v>4313.25</v>
      </c>
      <c r="F430" s="26">
        <f t="shared" si="41"/>
        <v>12056.982955201234</v>
      </c>
      <c r="G430" s="19"/>
      <c r="H430" s="23">
        <f t="shared" si="36"/>
        <v>3672.9005987562714</v>
      </c>
      <c r="I430" s="23">
        <f t="shared" si="37"/>
        <v>388.09940124372861</v>
      </c>
    </row>
    <row r="431" spans="1:9" ht="15" customHeight="1" x14ac:dyDescent="0.3">
      <c r="A431" s="17">
        <v>429</v>
      </c>
      <c r="B431" s="17">
        <v>3517</v>
      </c>
      <c r="C431" s="24">
        <f t="shared" si="38"/>
        <v>3831.25</v>
      </c>
      <c r="D431" s="24">
        <f t="shared" si="39"/>
        <v>-314.25</v>
      </c>
      <c r="E431" s="24">
        <f t="shared" si="40"/>
        <v>3570.25</v>
      </c>
      <c r="F431" s="25">
        <f t="shared" si="41"/>
        <v>11266.754261199691</v>
      </c>
      <c r="G431" s="19"/>
      <c r="H431" s="20">
        <f t="shared" si="36"/>
        <v>3750.5204790050175</v>
      </c>
      <c r="I431" s="20">
        <f t="shared" si="37"/>
        <v>-233.52047900501748</v>
      </c>
    </row>
    <row r="432" spans="1:9" ht="15" customHeight="1" x14ac:dyDescent="0.3">
      <c r="A432" s="17">
        <v>430</v>
      </c>
      <c r="B432" s="17">
        <v>3840</v>
      </c>
      <c r="C432" s="23">
        <f t="shared" si="38"/>
        <v>3721</v>
      </c>
      <c r="D432" s="23">
        <f t="shared" si="39"/>
        <v>119</v>
      </c>
      <c r="E432" s="23">
        <f t="shared" si="40"/>
        <v>4003.5</v>
      </c>
      <c r="F432" s="26">
        <f t="shared" si="41"/>
        <v>12056.982955201234</v>
      </c>
      <c r="G432" s="19"/>
      <c r="H432" s="23">
        <f t="shared" si="36"/>
        <v>3703.8163832040141</v>
      </c>
      <c r="I432" s="23">
        <f t="shared" si="37"/>
        <v>136.18361679598593</v>
      </c>
    </row>
    <row r="433" spans="1:9" ht="15" customHeight="1" x14ac:dyDescent="0.3">
      <c r="A433" s="17">
        <v>431</v>
      </c>
      <c r="B433" s="17">
        <v>3322</v>
      </c>
      <c r="C433" s="24">
        <f t="shared" si="38"/>
        <v>3738.25</v>
      </c>
      <c r="D433" s="24">
        <f t="shared" si="39"/>
        <v>-416.25</v>
      </c>
      <c r="E433" s="24">
        <f t="shared" si="40"/>
        <v>3468.25</v>
      </c>
      <c r="F433" s="25">
        <f t="shared" si="41"/>
        <v>10858.754261199691</v>
      </c>
      <c r="G433" s="19"/>
      <c r="H433" s="20">
        <f t="shared" si="36"/>
        <v>3731.0531065632113</v>
      </c>
      <c r="I433" s="20">
        <f t="shared" si="37"/>
        <v>-409.05310656321126</v>
      </c>
    </row>
    <row r="434" spans="1:9" ht="15" customHeight="1" x14ac:dyDescent="0.3">
      <c r="A434" s="17">
        <v>432</v>
      </c>
      <c r="B434" s="17">
        <v>3877</v>
      </c>
      <c r="C434" s="23">
        <f t="shared" si="38"/>
        <v>3685</v>
      </c>
      <c r="D434" s="23">
        <f t="shared" si="39"/>
        <v>192</v>
      </c>
      <c r="E434" s="23">
        <f t="shared" si="40"/>
        <v>4076.5</v>
      </c>
      <c r="F434" s="26">
        <f t="shared" si="41"/>
        <v>12056.982955201234</v>
      </c>
      <c r="G434" s="19"/>
      <c r="H434" s="23">
        <f t="shared" si="36"/>
        <v>3649.2424852505692</v>
      </c>
      <c r="I434" s="23">
        <f t="shared" si="37"/>
        <v>227.75751474943081</v>
      </c>
    </row>
    <row r="435" spans="1:9" ht="15" customHeight="1" x14ac:dyDescent="0.3">
      <c r="A435" s="17">
        <v>433</v>
      </c>
      <c r="B435" s="17">
        <v>3767</v>
      </c>
      <c r="C435" s="24">
        <f t="shared" si="38"/>
        <v>3639</v>
      </c>
      <c r="D435" s="24">
        <f t="shared" si="39"/>
        <v>128</v>
      </c>
      <c r="E435" s="24">
        <f t="shared" si="40"/>
        <v>4012.5</v>
      </c>
      <c r="F435" s="25">
        <f t="shared" si="41"/>
        <v>12056.982955201234</v>
      </c>
      <c r="G435" s="19"/>
      <c r="H435" s="20">
        <f t="shared" si="36"/>
        <v>3694.7939882004557</v>
      </c>
      <c r="I435" s="20">
        <f t="shared" si="37"/>
        <v>72.206011799544285</v>
      </c>
    </row>
    <row r="436" spans="1:9" ht="15" customHeight="1" x14ac:dyDescent="0.3">
      <c r="A436" s="17">
        <v>434</v>
      </c>
      <c r="B436" s="17">
        <v>3584</v>
      </c>
      <c r="C436" s="23">
        <f t="shared" si="38"/>
        <v>3701.5</v>
      </c>
      <c r="D436" s="23">
        <f t="shared" si="39"/>
        <v>-117.5</v>
      </c>
      <c r="E436" s="23">
        <f t="shared" si="40"/>
        <v>3767</v>
      </c>
      <c r="F436" s="26">
        <f t="shared" si="41"/>
        <v>12053.754261199691</v>
      </c>
      <c r="G436" s="19"/>
      <c r="H436" s="23">
        <f t="shared" si="36"/>
        <v>3709.235190560365</v>
      </c>
      <c r="I436" s="23">
        <f t="shared" si="37"/>
        <v>-125.23519056036503</v>
      </c>
    </row>
    <row r="437" spans="1:9" ht="15" customHeight="1" x14ac:dyDescent="0.3">
      <c r="A437" s="17">
        <v>435</v>
      </c>
      <c r="B437" s="17">
        <v>4192</v>
      </c>
      <c r="C437" s="24">
        <f t="shared" si="38"/>
        <v>3637.5</v>
      </c>
      <c r="D437" s="24">
        <f t="shared" si="39"/>
        <v>554.5</v>
      </c>
      <c r="E437" s="24">
        <f t="shared" si="40"/>
        <v>4439</v>
      </c>
      <c r="F437" s="25">
        <f t="shared" si="41"/>
        <v>12056.982955201234</v>
      </c>
      <c r="G437" s="19"/>
      <c r="H437" s="20">
        <f t="shared" si="36"/>
        <v>3684.1881524482924</v>
      </c>
      <c r="I437" s="20">
        <f t="shared" si="37"/>
        <v>507.81184755170761</v>
      </c>
    </row>
    <row r="438" spans="1:9" ht="15" customHeight="1" x14ac:dyDescent="0.3">
      <c r="A438" s="17">
        <v>436</v>
      </c>
      <c r="B438" s="17">
        <v>4083</v>
      </c>
      <c r="C438" s="23">
        <f t="shared" si="38"/>
        <v>3855</v>
      </c>
      <c r="D438" s="23">
        <f t="shared" si="39"/>
        <v>228</v>
      </c>
      <c r="E438" s="23">
        <f t="shared" si="40"/>
        <v>4112.5</v>
      </c>
      <c r="F438" s="26">
        <f t="shared" si="41"/>
        <v>12056.982955201234</v>
      </c>
      <c r="G438" s="19"/>
      <c r="H438" s="23">
        <f t="shared" si="36"/>
        <v>3785.7505219586342</v>
      </c>
      <c r="I438" s="23">
        <f t="shared" si="37"/>
        <v>297.24947804136582</v>
      </c>
    </row>
    <row r="439" spans="1:9" ht="15" customHeight="1" x14ac:dyDescent="0.3">
      <c r="A439" s="17">
        <v>437</v>
      </c>
      <c r="B439" s="17">
        <v>4069</v>
      </c>
      <c r="C439" s="24">
        <f t="shared" si="38"/>
        <v>3906.5</v>
      </c>
      <c r="D439" s="24">
        <f t="shared" si="39"/>
        <v>162.5</v>
      </c>
      <c r="E439" s="24">
        <f t="shared" si="40"/>
        <v>4047</v>
      </c>
      <c r="F439" s="25">
        <f t="shared" si="41"/>
        <v>12056.982955201234</v>
      </c>
      <c r="G439" s="19"/>
      <c r="H439" s="20">
        <f t="shared" si="36"/>
        <v>3845.2004175669076</v>
      </c>
      <c r="I439" s="20">
        <f t="shared" si="37"/>
        <v>223.79958243309238</v>
      </c>
    </row>
    <row r="440" spans="1:9" ht="15" customHeight="1" x14ac:dyDescent="0.3">
      <c r="A440" s="17">
        <v>438</v>
      </c>
      <c r="B440" s="17">
        <v>3946</v>
      </c>
      <c r="C440" s="23">
        <f t="shared" si="38"/>
        <v>3982</v>
      </c>
      <c r="D440" s="23">
        <f t="shared" si="39"/>
        <v>-36</v>
      </c>
      <c r="E440" s="23">
        <f t="shared" si="40"/>
        <v>3848.5</v>
      </c>
      <c r="F440" s="26">
        <f t="shared" si="41"/>
        <v>12056.982955201234</v>
      </c>
      <c r="G440" s="19"/>
      <c r="H440" s="23">
        <f t="shared" si="36"/>
        <v>3889.9603340535264</v>
      </c>
      <c r="I440" s="23">
        <f t="shared" si="37"/>
        <v>56.039665946473633</v>
      </c>
    </row>
    <row r="441" spans="1:9" ht="15" customHeight="1" x14ac:dyDescent="0.3">
      <c r="A441" s="17">
        <v>439</v>
      </c>
      <c r="B441" s="17">
        <v>3682</v>
      </c>
      <c r="C441" s="24">
        <f t="shared" si="38"/>
        <v>4072.5</v>
      </c>
      <c r="D441" s="24">
        <f t="shared" si="39"/>
        <v>-390.5</v>
      </c>
      <c r="E441" s="24">
        <f t="shared" si="40"/>
        <v>3494</v>
      </c>
      <c r="F441" s="25">
        <f t="shared" si="41"/>
        <v>10961.754261199691</v>
      </c>
      <c r="G441" s="19"/>
      <c r="H441" s="20">
        <f t="shared" si="36"/>
        <v>3901.1682672428215</v>
      </c>
      <c r="I441" s="20">
        <f t="shared" si="37"/>
        <v>-219.16826724282146</v>
      </c>
    </row>
    <row r="442" spans="1:9" ht="15" customHeight="1" x14ac:dyDescent="0.3">
      <c r="A442" s="17">
        <v>440</v>
      </c>
      <c r="B442" s="17">
        <v>4187</v>
      </c>
      <c r="C442" s="23">
        <f t="shared" si="38"/>
        <v>3945</v>
      </c>
      <c r="D442" s="23">
        <f t="shared" si="39"/>
        <v>242</v>
      </c>
      <c r="E442" s="23">
        <f t="shared" si="40"/>
        <v>4126.5</v>
      </c>
      <c r="F442" s="26">
        <f t="shared" si="41"/>
        <v>12056.982955201234</v>
      </c>
      <c r="G442" s="19"/>
      <c r="H442" s="23">
        <f t="shared" si="36"/>
        <v>3857.3346137942576</v>
      </c>
      <c r="I442" s="23">
        <f t="shared" si="37"/>
        <v>329.66538620574238</v>
      </c>
    </row>
    <row r="443" spans="1:9" ht="15" customHeight="1" x14ac:dyDescent="0.3">
      <c r="A443" s="17">
        <v>441</v>
      </c>
      <c r="B443" s="17">
        <v>4173</v>
      </c>
      <c r="C443" s="24">
        <f t="shared" si="38"/>
        <v>3971</v>
      </c>
      <c r="D443" s="24">
        <f t="shared" si="39"/>
        <v>202</v>
      </c>
      <c r="E443" s="24">
        <f t="shared" si="40"/>
        <v>4086.5</v>
      </c>
      <c r="F443" s="25">
        <f t="shared" si="41"/>
        <v>12056.982955201234</v>
      </c>
      <c r="G443" s="19"/>
      <c r="H443" s="20">
        <f t="shared" si="36"/>
        <v>3923.2676910354062</v>
      </c>
      <c r="I443" s="20">
        <f t="shared" si="37"/>
        <v>249.73230896459381</v>
      </c>
    </row>
    <row r="444" spans="1:9" ht="15" customHeight="1" x14ac:dyDescent="0.3">
      <c r="A444" s="17">
        <v>442</v>
      </c>
      <c r="B444" s="17">
        <v>3508</v>
      </c>
      <c r="C444" s="23">
        <f t="shared" si="38"/>
        <v>3997</v>
      </c>
      <c r="D444" s="23">
        <f t="shared" si="39"/>
        <v>-489</v>
      </c>
      <c r="E444" s="23">
        <f t="shared" si="40"/>
        <v>3395.5</v>
      </c>
      <c r="F444" s="26">
        <f t="shared" si="41"/>
        <v>10567.754261199691</v>
      </c>
      <c r="G444" s="19"/>
      <c r="H444" s="23">
        <f t="shared" si="36"/>
        <v>3973.214152828325</v>
      </c>
      <c r="I444" s="23">
        <f t="shared" si="37"/>
        <v>-465.21415282832504</v>
      </c>
    </row>
    <row r="445" spans="1:9" ht="15" customHeight="1" x14ac:dyDescent="0.3">
      <c r="A445" s="17">
        <v>443</v>
      </c>
      <c r="B445" s="17">
        <v>3557</v>
      </c>
      <c r="C445" s="24">
        <f t="shared" si="38"/>
        <v>3887.5</v>
      </c>
      <c r="D445" s="24">
        <f t="shared" si="39"/>
        <v>-330.5</v>
      </c>
      <c r="E445" s="24">
        <f t="shared" si="40"/>
        <v>3554</v>
      </c>
      <c r="F445" s="25">
        <f t="shared" si="41"/>
        <v>11201.754261199691</v>
      </c>
      <c r="G445" s="19"/>
      <c r="H445" s="20">
        <f t="shared" si="36"/>
        <v>3880.1713222626599</v>
      </c>
      <c r="I445" s="20">
        <f t="shared" si="37"/>
        <v>-323.17132226265994</v>
      </c>
    </row>
    <row r="446" spans="1:9" ht="15" customHeight="1" x14ac:dyDescent="0.3">
      <c r="A446" s="17">
        <v>444</v>
      </c>
      <c r="B446" s="17">
        <v>4188</v>
      </c>
      <c r="C446" s="23">
        <f t="shared" si="38"/>
        <v>3856.25</v>
      </c>
      <c r="D446" s="23">
        <f t="shared" si="39"/>
        <v>331.75</v>
      </c>
      <c r="E446" s="23">
        <f t="shared" si="40"/>
        <v>4216.25</v>
      </c>
      <c r="F446" s="26">
        <f t="shared" si="41"/>
        <v>12056.982955201234</v>
      </c>
      <c r="G446" s="19"/>
      <c r="H446" s="23">
        <f t="shared" si="36"/>
        <v>3815.5370578101283</v>
      </c>
      <c r="I446" s="23">
        <f t="shared" si="37"/>
        <v>372.46294218987168</v>
      </c>
    </row>
    <row r="447" spans="1:9" ht="15" customHeight="1" x14ac:dyDescent="0.3">
      <c r="A447" s="17">
        <v>445</v>
      </c>
      <c r="B447" s="17">
        <v>3880</v>
      </c>
      <c r="C447" s="24">
        <f t="shared" si="38"/>
        <v>3856.5</v>
      </c>
      <c r="D447" s="24">
        <f t="shared" si="39"/>
        <v>23.5</v>
      </c>
      <c r="E447" s="24">
        <f t="shared" si="40"/>
        <v>3908</v>
      </c>
      <c r="F447" s="25">
        <f t="shared" si="41"/>
        <v>12056.982955201234</v>
      </c>
      <c r="G447" s="19"/>
      <c r="H447" s="20">
        <f t="shared" si="36"/>
        <v>3890.0296462481028</v>
      </c>
      <c r="I447" s="20">
        <f t="shared" si="37"/>
        <v>-10.029646248102836</v>
      </c>
    </row>
    <row r="448" spans="1:9" ht="15" customHeight="1" x14ac:dyDescent="0.3">
      <c r="A448" s="17">
        <v>446</v>
      </c>
      <c r="B448" s="17">
        <v>3718</v>
      </c>
      <c r="C448" s="23">
        <f t="shared" si="38"/>
        <v>3783.25</v>
      </c>
      <c r="D448" s="23">
        <f t="shared" si="39"/>
        <v>-65.25</v>
      </c>
      <c r="E448" s="23">
        <f t="shared" si="40"/>
        <v>3819.25</v>
      </c>
      <c r="F448" s="26">
        <f t="shared" si="41"/>
        <v>12056.982955201234</v>
      </c>
      <c r="G448" s="19"/>
      <c r="H448" s="23">
        <f t="shared" si="36"/>
        <v>3888.0237169984825</v>
      </c>
      <c r="I448" s="23">
        <f t="shared" si="37"/>
        <v>-170.02371699848254</v>
      </c>
    </row>
    <row r="449" spans="1:9" ht="15" customHeight="1" x14ac:dyDescent="0.3">
      <c r="A449" s="17">
        <v>447</v>
      </c>
      <c r="B449" s="17">
        <v>3321</v>
      </c>
      <c r="C449" s="24">
        <f t="shared" si="38"/>
        <v>3835.75</v>
      </c>
      <c r="D449" s="24">
        <f t="shared" si="39"/>
        <v>-514.75</v>
      </c>
      <c r="E449" s="24">
        <f t="shared" si="40"/>
        <v>3369.75</v>
      </c>
      <c r="F449" s="25">
        <f t="shared" si="41"/>
        <v>10464.754261199691</v>
      </c>
      <c r="G449" s="19"/>
      <c r="H449" s="20">
        <f t="shared" si="36"/>
        <v>3854.018973598786</v>
      </c>
      <c r="I449" s="20">
        <f t="shared" si="37"/>
        <v>-533.01897359878603</v>
      </c>
    </row>
    <row r="450" spans="1:9" ht="15" customHeight="1" x14ac:dyDescent="0.3">
      <c r="A450" s="17">
        <v>448</v>
      </c>
      <c r="B450" s="17">
        <v>4215</v>
      </c>
      <c r="C450" s="23">
        <f t="shared" si="38"/>
        <v>3776.75</v>
      </c>
      <c r="D450" s="23">
        <f t="shared" si="39"/>
        <v>438.25</v>
      </c>
      <c r="E450" s="23">
        <f t="shared" si="40"/>
        <v>4322.75</v>
      </c>
      <c r="F450" s="26">
        <f t="shared" si="41"/>
        <v>12056.982955201234</v>
      </c>
      <c r="G450" s="19"/>
      <c r="H450" s="23">
        <f t="shared" si="36"/>
        <v>3747.4151788790286</v>
      </c>
      <c r="I450" s="23">
        <f t="shared" si="37"/>
        <v>467.58482112097136</v>
      </c>
    </row>
    <row r="451" spans="1:9" ht="15" customHeight="1" x14ac:dyDescent="0.3">
      <c r="A451" s="17">
        <v>449</v>
      </c>
      <c r="B451" s="17">
        <v>3580</v>
      </c>
      <c r="C451" s="24">
        <f t="shared" si="38"/>
        <v>3783.5</v>
      </c>
      <c r="D451" s="24">
        <f t="shared" si="39"/>
        <v>-203.5</v>
      </c>
      <c r="E451" s="24">
        <f t="shared" si="40"/>
        <v>3681</v>
      </c>
      <c r="F451" s="25">
        <f t="shared" si="41"/>
        <v>11709.754261199691</v>
      </c>
      <c r="G451" s="19"/>
      <c r="H451" s="20">
        <f t="shared" si="36"/>
        <v>3840.9321431032231</v>
      </c>
      <c r="I451" s="20">
        <f t="shared" si="37"/>
        <v>-260.9321431032231</v>
      </c>
    </row>
    <row r="452" spans="1:9" ht="15" customHeight="1" x14ac:dyDescent="0.3">
      <c r="A452" s="17">
        <v>450</v>
      </c>
      <c r="B452" s="17">
        <v>4169</v>
      </c>
      <c r="C452" s="23">
        <f t="shared" si="38"/>
        <v>3708.5</v>
      </c>
      <c r="D452" s="23">
        <f t="shared" si="39"/>
        <v>460.5</v>
      </c>
      <c r="E452" s="23">
        <f t="shared" si="40"/>
        <v>4345</v>
      </c>
      <c r="F452" s="26">
        <f t="shared" si="41"/>
        <v>12056.982955201234</v>
      </c>
      <c r="G452" s="19"/>
      <c r="H452" s="23">
        <f t="shared" ref="H452:H502" si="42">0.2*B451+0.8*H451</f>
        <v>3788.7457144825785</v>
      </c>
      <c r="I452" s="23">
        <f t="shared" ref="I452:I515" si="43">B452-H452</f>
        <v>380.25428551742152</v>
      </c>
    </row>
    <row r="453" spans="1:9" ht="15" customHeight="1" x14ac:dyDescent="0.3">
      <c r="A453" s="17">
        <v>451</v>
      </c>
      <c r="B453" s="17">
        <v>3560</v>
      </c>
      <c r="C453" s="24">
        <f t="shared" si="38"/>
        <v>3821.25</v>
      </c>
      <c r="D453" s="24">
        <f t="shared" si="39"/>
        <v>-261.25</v>
      </c>
      <c r="E453" s="24">
        <f t="shared" si="40"/>
        <v>3623.25</v>
      </c>
      <c r="F453" s="25">
        <f t="shared" si="41"/>
        <v>11478.754261199691</v>
      </c>
      <c r="G453" s="19"/>
      <c r="H453" s="20">
        <f t="shared" si="42"/>
        <v>3864.7965715860632</v>
      </c>
      <c r="I453" s="20">
        <f t="shared" si="43"/>
        <v>-304.79657158606324</v>
      </c>
    </row>
    <row r="454" spans="1:9" ht="15" customHeight="1" x14ac:dyDescent="0.3">
      <c r="A454" s="17">
        <v>452</v>
      </c>
      <c r="B454" s="17">
        <v>3522</v>
      </c>
      <c r="C454" s="23">
        <f t="shared" si="38"/>
        <v>3881</v>
      </c>
      <c r="D454" s="23">
        <f t="shared" si="39"/>
        <v>-359</v>
      </c>
      <c r="E454" s="23">
        <f t="shared" si="40"/>
        <v>3525.5</v>
      </c>
      <c r="F454" s="26">
        <f t="shared" si="41"/>
        <v>11087.754261199691</v>
      </c>
      <c r="G454" s="19"/>
      <c r="H454" s="23">
        <f t="shared" si="42"/>
        <v>3803.8372572688509</v>
      </c>
      <c r="I454" s="23">
        <f t="shared" si="43"/>
        <v>-281.83725726885086</v>
      </c>
    </row>
    <row r="455" spans="1:9" ht="15" customHeight="1" x14ac:dyDescent="0.3">
      <c r="A455" s="17">
        <v>453</v>
      </c>
      <c r="B455" s="17">
        <v>3765</v>
      </c>
      <c r="C455" s="24">
        <f t="shared" ref="C455:C518" si="44">AVERAGE(B451:B454)</f>
        <v>3707.75</v>
      </c>
      <c r="D455" s="24">
        <f t="shared" ref="D455:D518" si="45">B455-C455</f>
        <v>57.25</v>
      </c>
      <c r="E455" s="24">
        <f t="shared" ref="E455:E518" si="46">$C$502+D455</f>
        <v>3941.75</v>
      </c>
      <c r="F455" s="25">
        <f t="shared" ref="F455:F518" si="47">4*MIN(E455,$E$509)-0.8*$E$509</f>
        <v>12056.982955201234</v>
      </c>
      <c r="G455" s="19"/>
      <c r="H455" s="20">
        <f t="shared" si="42"/>
        <v>3747.4698058150811</v>
      </c>
      <c r="I455" s="20">
        <f t="shared" si="43"/>
        <v>17.530194184918855</v>
      </c>
    </row>
    <row r="456" spans="1:9" ht="15" customHeight="1" x14ac:dyDescent="0.3">
      <c r="A456" s="17">
        <v>454</v>
      </c>
      <c r="B456" s="17">
        <v>4043</v>
      </c>
      <c r="C456" s="23">
        <f t="shared" si="44"/>
        <v>3754</v>
      </c>
      <c r="D456" s="23">
        <f t="shared" si="45"/>
        <v>289</v>
      </c>
      <c r="E456" s="23">
        <f t="shared" si="46"/>
        <v>4173.5</v>
      </c>
      <c r="F456" s="26">
        <f t="shared" si="47"/>
        <v>12056.982955201234</v>
      </c>
      <c r="G456" s="19"/>
      <c r="H456" s="23">
        <f t="shared" si="42"/>
        <v>3750.975844652065</v>
      </c>
      <c r="I456" s="23">
        <f t="shared" si="43"/>
        <v>292.02415534793499</v>
      </c>
    </row>
    <row r="457" spans="1:9" ht="15" customHeight="1" x14ac:dyDescent="0.3">
      <c r="A457" s="17">
        <v>455</v>
      </c>
      <c r="B457" s="17">
        <v>3747</v>
      </c>
      <c r="C457" s="24">
        <f t="shared" si="44"/>
        <v>3722.5</v>
      </c>
      <c r="D457" s="24">
        <f t="shared" si="45"/>
        <v>24.5</v>
      </c>
      <c r="E457" s="24">
        <f t="shared" si="46"/>
        <v>3909</v>
      </c>
      <c r="F457" s="25">
        <f t="shared" si="47"/>
        <v>12056.982955201234</v>
      </c>
      <c r="G457" s="19"/>
      <c r="H457" s="20">
        <f t="shared" si="42"/>
        <v>3809.3806757216521</v>
      </c>
      <c r="I457" s="20">
        <f t="shared" si="43"/>
        <v>-62.380675721652096</v>
      </c>
    </row>
    <row r="458" spans="1:9" ht="15" customHeight="1" x14ac:dyDescent="0.3">
      <c r="A458" s="17">
        <v>456</v>
      </c>
      <c r="B458" s="17">
        <v>4042</v>
      </c>
      <c r="C458" s="23">
        <f t="shared" si="44"/>
        <v>3769.25</v>
      </c>
      <c r="D458" s="23">
        <f t="shared" si="45"/>
        <v>272.75</v>
      </c>
      <c r="E458" s="23">
        <f t="shared" si="46"/>
        <v>4157.25</v>
      </c>
      <c r="F458" s="26">
        <f t="shared" si="47"/>
        <v>12056.982955201234</v>
      </c>
      <c r="G458" s="19"/>
      <c r="H458" s="23">
        <f t="shared" si="42"/>
        <v>3796.9045405773218</v>
      </c>
      <c r="I458" s="23">
        <f t="shared" si="43"/>
        <v>245.09545942267823</v>
      </c>
    </row>
    <row r="459" spans="1:9" ht="15" customHeight="1" x14ac:dyDescent="0.3">
      <c r="A459" s="17">
        <v>457</v>
      </c>
      <c r="B459" s="17">
        <v>3941</v>
      </c>
      <c r="C459" s="24">
        <f t="shared" si="44"/>
        <v>3899.25</v>
      </c>
      <c r="D459" s="24">
        <f t="shared" si="45"/>
        <v>41.75</v>
      </c>
      <c r="E459" s="24">
        <f t="shared" si="46"/>
        <v>3926.25</v>
      </c>
      <c r="F459" s="25">
        <f t="shared" si="47"/>
        <v>12056.982955201234</v>
      </c>
      <c r="G459" s="19"/>
      <c r="H459" s="20">
        <f t="shared" si="42"/>
        <v>3845.9236324618578</v>
      </c>
      <c r="I459" s="20">
        <f t="shared" si="43"/>
        <v>95.076367538142222</v>
      </c>
    </row>
    <row r="460" spans="1:9" ht="15" customHeight="1" x14ac:dyDescent="0.3">
      <c r="A460" s="17">
        <v>458</v>
      </c>
      <c r="B460" s="17">
        <v>3974</v>
      </c>
      <c r="C460" s="23">
        <f t="shared" si="44"/>
        <v>3943.25</v>
      </c>
      <c r="D460" s="23">
        <f t="shared" si="45"/>
        <v>30.75</v>
      </c>
      <c r="E460" s="23">
        <f t="shared" si="46"/>
        <v>3915.25</v>
      </c>
      <c r="F460" s="26">
        <f t="shared" si="47"/>
        <v>12056.982955201234</v>
      </c>
      <c r="G460" s="19"/>
      <c r="H460" s="23">
        <f t="shared" si="42"/>
        <v>3864.9389059694868</v>
      </c>
      <c r="I460" s="23">
        <f t="shared" si="43"/>
        <v>109.06109403051323</v>
      </c>
    </row>
    <row r="461" spans="1:9" ht="15" customHeight="1" x14ac:dyDescent="0.3">
      <c r="A461" s="17">
        <v>459</v>
      </c>
      <c r="B461" s="17">
        <v>4089</v>
      </c>
      <c r="C461" s="24">
        <f t="shared" si="44"/>
        <v>3926</v>
      </c>
      <c r="D461" s="24">
        <f t="shared" si="45"/>
        <v>163</v>
      </c>
      <c r="E461" s="24">
        <f t="shared" si="46"/>
        <v>4047.5</v>
      </c>
      <c r="F461" s="25">
        <f t="shared" si="47"/>
        <v>12056.982955201234</v>
      </c>
      <c r="G461" s="19"/>
      <c r="H461" s="20">
        <f t="shared" si="42"/>
        <v>3886.7511247755897</v>
      </c>
      <c r="I461" s="20">
        <f t="shared" si="43"/>
        <v>202.24887522441031</v>
      </c>
    </row>
    <row r="462" spans="1:9" ht="15" customHeight="1" x14ac:dyDescent="0.3">
      <c r="A462" s="17">
        <v>460</v>
      </c>
      <c r="B462" s="17">
        <v>3831</v>
      </c>
      <c r="C462" s="23">
        <f t="shared" si="44"/>
        <v>4011.5</v>
      </c>
      <c r="D462" s="23">
        <f t="shared" si="45"/>
        <v>-180.5</v>
      </c>
      <c r="E462" s="23">
        <f t="shared" si="46"/>
        <v>3704</v>
      </c>
      <c r="F462" s="26">
        <f t="shared" si="47"/>
        <v>11801.754261199691</v>
      </c>
      <c r="G462" s="19"/>
      <c r="H462" s="23">
        <f t="shared" si="42"/>
        <v>3927.2008998204719</v>
      </c>
      <c r="I462" s="23">
        <f t="shared" si="43"/>
        <v>-96.200899820471932</v>
      </c>
    </row>
    <row r="463" spans="1:9" ht="15" customHeight="1" x14ac:dyDescent="0.3">
      <c r="A463" s="17">
        <v>461</v>
      </c>
      <c r="B463" s="17">
        <v>4083</v>
      </c>
      <c r="C463" s="24">
        <f t="shared" si="44"/>
        <v>3958.75</v>
      </c>
      <c r="D463" s="24">
        <f t="shared" si="45"/>
        <v>124.25</v>
      </c>
      <c r="E463" s="24">
        <f t="shared" si="46"/>
        <v>4008.75</v>
      </c>
      <c r="F463" s="25">
        <f t="shared" si="47"/>
        <v>12056.982955201234</v>
      </c>
      <c r="G463" s="19"/>
      <c r="H463" s="20">
        <f t="shared" si="42"/>
        <v>3907.9607198563781</v>
      </c>
      <c r="I463" s="20">
        <f t="shared" si="43"/>
        <v>175.03928014362191</v>
      </c>
    </row>
    <row r="464" spans="1:9" ht="15" customHeight="1" x14ac:dyDescent="0.3">
      <c r="A464" s="17">
        <v>462</v>
      </c>
      <c r="B464" s="17">
        <v>3965</v>
      </c>
      <c r="C464" s="23">
        <f t="shared" si="44"/>
        <v>3994.25</v>
      </c>
      <c r="D464" s="23">
        <f t="shared" si="45"/>
        <v>-29.25</v>
      </c>
      <c r="E464" s="23">
        <f t="shared" si="46"/>
        <v>3855.25</v>
      </c>
      <c r="F464" s="26">
        <f t="shared" si="47"/>
        <v>12056.982955201234</v>
      </c>
      <c r="G464" s="19"/>
      <c r="H464" s="23">
        <f t="shared" si="42"/>
        <v>3942.9685758851024</v>
      </c>
      <c r="I464" s="23">
        <f t="shared" si="43"/>
        <v>22.031424114897618</v>
      </c>
    </row>
    <row r="465" spans="1:9" ht="15" customHeight="1" x14ac:dyDescent="0.3">
      <c r="A465" s="17">
        <v>463</v>
      </c>
      <c r="B465" s="17">
        <v>4325</v>
      </c>
      <c r="C465" s="24">
        <f t="shared" si="44"/>
        <v>3992</v>
      </c>
      <c r="D465" s="24">
        <f t="shared" si="45"/>
        <v>333</v>
      </c>
      <c r="E465" s="24">
        <f t="shared" si="46"/>
        <v>4217.5</v>
      </c>
      <c r="F465" s="25">
        <f t="shared" si="47"/>
        <v>12056.982955201234</v>
      </c>
      <c r="G465" s="19"/>
      <c r="H465" s="20">
        <f t="shared" si="42"/>
        <v>3947.374860708082</v>
      </c>
      <c r="I465" s="20">
        <f t="shared" si="43"/>
        <v>377.625139291918</v>
      </c>
    </row>
    <row r="466" spans="1:9" ht="15" customHeight="1" x14ac:dyDescent="0.3">
      <c r="A466" s="17">
        <v>464</v>
      </c>
      <c r="B466" s="17">
        <v>3631</v>
      </c>
      <c r="C466" s="23">
        <f t="shared" si="44"/>
        <v>4051</v>
      </c>
      <c r="D466" s="23">
        <f t="shared" si="45"/>
        <v>-420</v>
      </c>
      <c r="E466" s="23">
        <f t="shared" si="46"/>
        <v>3464.5</v>
      </c>
      <c r="F466" s="26">
        <f t="shared" si="47"/>
        <v>10843.754261199691</v>
      </c>
      <c r="G466" s="19"/>
      <c r="H466" s="23">
        <f t="shared" si="42"/>
        <v>4022.899888566466</v>
      </c>
      <c r="I466" s="23">
        <f t="shared" si="43"/>
        <v>-391.89988856646596</v>
      </c>
    </row>
    <row r="467" spans="1:9" ht="15" customHeight="1" x14ac:dyDescent="0.3">
      <c r="A467" s="17">
        <v>465</v>
      </c>
      <c r="B467" s="17">
        <v>3903</v>
      </c>
      <c r="C467" s="24">
        <f t="shared" si="44"/>
        <v>4001</v>
      </c>
      <c r="D467" s="24">
        <f t="shared" si="45"/>
        <v>-98</v>
      </c>
      <c r="E467" s="24">
        <f t="shared" si="46"/>
        <v>3786.5</v>
      </c>
      <c r="F467" s="25">
        <f t="shared" si="47"/>
        <v>12056.982955201234</v>
      </c>
      <c r="G467" s="19"/>
      <c r="H467" s="20">
        <f t="shared" si="42"/>
        <v>3944.5199108531733</v>
      </c>
      <c r="I467" s="20">
        <f t="shared" si="43"/>
        <v>-41.519910853173315</v>
      </c>
    </row>
    <row r="468" spans="1:9" ht="15" customHeight="1" x14ac:dyDescent="0.3">
      <c r="A468" s="17">
        <v>466</v>
      </c>
      <c r="B468" s="17">
        <v>3623</v>
      </c>
      <c r="C468" s="23">
        <f t="shared" si="44"/>
        <v>3956</v>
      </c>
      <c r="D468" s="23">
        <f t="shared" si="45"/>
        <v>-333</v>
      </c>
      <c r="E468" s="23">
        <f t="shared" si="46"/>
        <v>3551.5</v>
      </c>
      <c r="F468" s="26">
        <f t="shared" si="47"/>
        <v>11191.754261199691</v>
      </c>
      <c r="G468" s="19"/>
      <c r="H468" s="23">
        <f t="shared" si="42"/>
        <v>3936.2159286825386</v>
      </c>
      <c r="I468" s="23">
        <f t="shared" si="43"/>
        <v>-313.21592868253856</v>
      </c>
    </row>
    <row r="469" spans="1:9" ht="15" customHeight="1" x14ac:dyDescent="0.3">
      <c r="A469" s="17">
        <v>467</v>
      </c>
      <c r="B469" s="17">
        <v>4002</v>
      </c>
      <c r="C469" s="24">
        <f t="shared" si="44"/>
        <v>3870.5</v>
      </c>
      <c r="D469" s="24">
        <f t="shared" si="45"/>
        <v>131.5</v>
      </c>
      <c r="E469" s="24">
        <f t="shared" si="46"/>
        <v>4016</v>
      </c>
      <c r="F469" s="25">
        <f t="shared" si="47"/>
        <v>12056.982955201234</v>
      </c>
      <c r="G469" s="19"/>
      <c r="H469" s="20">
        <f t="shared" si="42"/>
        <v>3873.5727429460308</v>
      </c>
      <c r="I469" s="20">
        <f t="shared" si="43"/>
        <v>128.42725705396924</v>
      </c>
    </row>
    <row r="470" spans="1:9" ht="15" customHeight="1" x14ac:dyDescent="0.3">
      <c r="A470" s="17">
        <v>468</v>
      </c>
      <c r="B470" s="17">
        <v>4350</v>
      </c>
      <c r="C470" s="23">
        <f t="shared" si="44"/>
        <v>3789.75</v>
      </c>
      <c r="D470" s="23">
        <f t="shared" si="45"/>
        <v>560.25</v>
      </c>
      <c r="E470" s="23">
        <f t="shared" si="46"/>
        <v>4444.75</v>
      </c>
      <c r="F470" s="26">
        <f t="shared" si="47"/>
        <v>12056.982955201234</v>
      </c>
      <c r="G470" s="19"/>
      <c r="H470" s="23">
        <f t="shared" si="42"/>
        <v>3899.2581943568248</v>
      </c>
      <c r="I470" s="23">
        <f t="shared" si="43"/>
        <v>450.74180564317521</v>
      </c>
    </row>
    <row r="471" spans="1:9" ht="15" customHeight="1" x14ac:dyDescent="0.3">
      <c r="A471" s="17">
        <v>469</v>
      </c>
      <c r="B471" s="17">
        <v>4309</v>
      </c>
      <c r="C471" s="24">
        <f t="shared" si="44"/>
        <v>3969.5</v>
      </c>
      <c r="D471" s="24">
        <f t="shared" si="45"/>
        <v>339.5</v>
      </c>
      <c r="E471" s="24">
        <f t="shared" si="46"/>
        <v>4224</v>
      </c>
      <c r="F471" s="25">
        <f t="shared" si="47"/>
        <v>12056.982955201234</v>
      </c>
      <c r="G471" s="19"/>
      <c r="H471" s="20">
        <f t="shared" si="42"/>
        <v>3989.4065554854601</v>
      </c>
      <c r="I471" s="20">
        <f t="shared" si="43"/>
        <v>319.5934445145399</v>
      </c>
    </row>
    <row r="472" spans="1:9" ht="15" customHeight="1" x14ac:dyDescent="0.3">
      <c r="A472" s="17">
        <v>470</v>
      </c>
      <c r="B472" s="17">
        <v>4111</v>
      </c>
      <c r="C472" s="23">
        <f t="shared" si="44"/>
        <v>4071</v>
      </c>
      <c r="D472" s="23">
        <f t="shared" si="45"/>
        <v>40</v>
      </c>
      <c r="E472" s="23">
        <f t="shared" si="46"/>
        <v>3924.5</v>
      </c>
      <c r="F472" s="26">
        <f t="shared" si="47"/>
        <v>12056.982955201234</v>
      </c>
      <c r="G472" s="19"/>
      <c r="H472" s="23">
        <f t="shared" si="42"/>
        <v>4053.3252443883684</v>
      </c>
      <c r="I472" s="23">
        <f t="shared" si="43"/>
        <v>57.674755611631554</v>
      </c>
    </row>
    <row r="473" spans="1:9" ht="15" customHeight="1" x14ac:dyDescent="0.3">
      <c r="A473" s="17">
        <v>471</v>
      </c>
      <c r="B473" s="17">
        <v>4115</v>
      </c>
      <c r="C473" s="24">
        <f t="shared" si="44"/>
        <v>4193</v>
      </c>
      <c r="D473" s="24">
        <f t="shared" si="45"/>
        <v>-78</v>
      </c>
      <c r="E473" s="24">
        <f t="shared" si="46"/>
        <v>3806.5</v>
      </c>
      <c r="F473" s="25">
        <f t="shared" si="47"/>
        <v>12056.982955201234</v>
      </c>
      <c r="G473" s="19"/>
      <c r="H473" s="20">
        <f t="shared" si="42"/>
        <v>4064.8601955106951</v>
      </c>
      <c r="I473" s="20">
        <f t="shared" si="43"/>
        <v>50.139804489304879</v>
      </c>
    </row>
    <row r="474" spans="1:9" ht="15" customHeight="1" x14ac:dyDescent="0.3">
      <c r="A474" s="17">
        <v>472</v>
      </c>
      <c r="B474" s="17">
        <v>3415</v>
      </c>
      <c r="C474" s="23">
        <f t="shared" si="44"/>
        <v>4221.25</v>
      </c>
      <c r="D474" s="23">
        <f t="shared" si="45"/>
        <v>-806.25</v>
      </c>
      <c r="E474" s="23">
        <f t="shared" si="46"/>
        <v>3078.25</v>
      </c>
      <c r="F474" s="26">
        <f t="shared" si="47"/>
        <v>9298.7542611996905</v>
      </c>
      <c r="G474" s="19"/>
      <c r="H474" s="23">
        <f t="shared" si="42"/>
        <v>4074.8881564085564</v>
      </c>
      <c r="I474" s="23">
        <f t="shared" si="43"/>
        <v>-659.88815640855637</v>
      </c>
    </row>
    <row r="475" spans="1:9" ht="15" customHeight="1" x14ac:dyDescent="0.3">
      <c r="A475" s="17">
        <v>473</v>
      </c>
      <c r="B475" s="17">
        <v>3929</v>
      </c>
      <c r="C475" s="24">
        <f t="shared" si="44"/>
        <v>3987.5</v>
      </c>
      <c r="D475" s="24">
        <f t="shared" si="45"/>
        <v>-58.5</v>
      </c>
      <c r="E475" s="24">
        <f t="shared" si="46"/>
        <v>3826</v>
      </c>
      <c r="F475" s="25">
        <f t="shared" si="47"/>
        <v>12056.982955201234</v>
      </c>
      <c r="G475" s="19"/>
      <c r="H475" s="20">
        <f t="shared" si="42"/>
        <v>3942.9105251268452</v>
      </c>
      <c r="I475" s="20">
        <f t="shared" si="43"/>
        <v>-13.910525126845187</v>
      </c>
    </row>
    <row r="476" spans="1:9" ht="15" customHeight="1" x14ac:dyDescent="0.3">
      <c r="A476" s="17">
        <v>474</v>
      </c>
      <c r="B476" s="17">
        <v>4372</v>
      </c>
      <c r="C476" s="23">
        <f t="shared" si="44"/>
        <v>3892.5</v>
      </c>
      <c r="D476" s="23">
        <f t="shared" si="45"/>
        <v>479.5</v>
      </c>
      <c r="E476" s="23">
        <f t="shared" si="46"/>
        <v>4364</v>
      </c>
      <c r="F476" s="26">
        <f t="shared" si="47"/>
        <v>12056.982955201234</v>
      </c>
      <c r="G476" s="19"/>
      <c r="H476" s="23">
        <f t="shared" si="42"/>
        <v>3940.1284201014764</v>
      </c>
      <c r="I476" s="23">
        <f t="shared" si="43"/>
        <v>431.87157989852358</v>
      </c>
    </row>
    <row r="477" spans="1:9" ht="15" customHeight="1" x14ac:dyDescent="0.3">
      <c r="A477" s="17">
        <v>475</v>
      </c>
      <c r="B477" s="17">
        <v>4087</v>
      </c>
      <c r="C477" s="24">
        <f t="shared" si="44"/>
        <v>3957.75</v>
      </c>
      <c r="D477" s="24">
        <f t="shared" si="45"/>
        <v>129.25</v>
      </c>
      <c r="E477" s="24">
        <f t="shared" si="46"/>
        <v>4013.75</v>
      </c>
      <c r="F477" s="25">
        <f t="shared" si="47"/>
        <v>12056.982955201234</v>
      </c>
      <c r="G477" s="19"/>
      <c r="H477" s="20">
        <f t="shared" si="42"/>
        <v>4026.5027360811814</v>
      </c>
      <c r="I477" s="20">
        <f t="shared" si="43"/>
        <v>60.497263918818589</v>
      </c>
    </row>
    <row r="478" spans="1:9" ht="15" customHeight="1" x14ac:dyDescent="0.3">
      <c r="A478" s="17">
        <v>476</v>
      </c>
      <c r="B478" s="17">
        <v>4164</v>
      </c>
      <c r="C478" s="23">
        <f t="shared" si="44"/>
        <v>3950.75</v>
      </c>
      <c r="D478" s="23">
        <f t="shared" si="45"/>
        <v>213.25</v>
      </c>
      <c r="E478" s="23">
        <f t="shared" si="46"/>
        <v>4097.75</v>
      </c>
      <c r="F478" s="26">
        <f t="shared" si="47"/>
        <v>12056.982955201234</v>
      </c>
      <c r="G478" s="19"/>
      <c r="H478" s="23">
        <f t="shared" si="42"/>
        <v>4038.6021888649452</v>
      </c>
      <c r="I478" s="23">
        <f t="shared" si="43"/>
        <v>125.39781113505478</v>
      </c>
    </row>
    <row r="479" spans="1:9" ht="15" customHeight="1" x14ac:dyDescent="0.3">
      <c r="A479" s="17">
        <v>477</v>
      </c>
      <c r="B479" s="17">
        <v>4256</v>
      </c>
      <c r="C479" s="24">
        <f t="shared" si="44"/>
        <v>4138</v>
      </c>
      <c r="D479" s="24">
        <f t="shared" si="45"/>
        <v>118</v>
      </c>
      <c r="E479" s="24">
        <f t="shared" si="46"/>
        <v>4002.5</v>
      </c>
      <c r="F479" s="25">
        <f t="shared" si="47"/>
        <v>12056.982955201234</v>
      </c>
      <c r="G479" s="19"/>
      <c r="H479" s="20">
        <f t="shared" si="42"/>
        <v>4063.6817510919564</v>
      </c>
      <c r="I479" s="20">
        <f t="shared" si="43"/>
        <v>192.31824890804364</v>
      </c>
    </row>
    <row r="480" spans="1:9" ht="15" customHeight="1" x14ac:dyDescent="0.3">
      <c r="A480" s="17">
        <v>478</v>
      </c>
      <c r="B480" s="17">
        <v>3819</v>
      </c>
      <c r="C480" s="23">
        <f t="shared" si="44"/>
        <v>4219.75</v>
      </c>
      <c r="D480" s="23">
        <f t="shared" si="45"/>
        <v>-400.75</v>
      </c>
      <c r="E480" s="23">
        <f t="shared" si="46"/>
        <v>3483.75</v>
      </c>
      <c r="F480" s="26">
        <f t="shared" si="47"/>
        <v>10920.754261199691</v>
      </c>
      <c r="G480" s="19"/>
      <c r="H480" s="23">
        <f t="shared" si="42"/>
        <v>4102.1454008735654</v>
      </c>
      <c r="I480" s="23">
        <f t="shared" si="43"/>
        <v>-283.14540087356545</v>
      </c>
    </row>
    <row r="481" spans="1:9" ht="15" customHeight="1" x14ac:dyDescent="0.3">
      <c r="A481" s="17">
        <v>479</v>
      </c>
      <c r="B481" s="17">
        <v>4336</v>
      </c>
      <c r="C481" s="24">
        <f t="shared" si="44"/>
        <v>4081.5</v>
      </c>
      <c r="D481" s="24">
        <f t="shared" si="45"/>
        <v>254.5</v>
      </c>
      <c r="E481" s="24">
        <f t="shared" si="46"/>
        <v>4139</v>
      </c>
      <c r="F481" s="25">
        <f t="shared" si="47"/>
        <v>12056.982955201234</v>
      </c>
      <c r="G481" s="19"/>
      <c r="H481" s="20">
        <f t="shared" si="42"/>
        <v>4045.5163206988527</v>
      </c>
      <c r="I481" s="20">
        <f t="shared" si="43"/>
        <v>290.48367930114728</v>
      </c>
    </row>
    <row r="482" spans="1:9" ht="15" customHeight="1" x14ac:dyDescent="0.3">
      <c r="A482" s="17">
        <v>480</v>
      </c>
      <c r="B482" s="17">
        <v>4263</v>
      </c>
      <c r="C482" s="23">
        <f t="shared" si="44"/>
        <v>4143.75</v>
      </c>
      <c r="D482" s="23">
        <f t="shared" si="45"/>
        <v>119.25</v>
      </c>
      <c r="E482" s="23">
        <f t="shared" si="46"/>
        <v>4003.75</v>
      </c>
      <c r="F482" s="26">
        <f t="shared" si="47"/>
        <v>12056.982955201234</v>
      </c>
      <c r="G482" s="19"/>
      <c r="H482" s="23">
        <f t="shared" si="42"/>
        <v>4103.613056559082</v>
      </c>
      <c r="I482" s="23">
        <f t="shared" si="43"/>
        <v>159.386943440918</v>
      </c>
    </row>
    <row r="483" spans="1:9" ht="15" customHeight="1" x14ac:dyDescent="0.3">
      <c r="A483" s="17">
        <v>481</v>
      </c>
      <c r="B483" s="17">
        <v>4410</v>
      </c>
      <c r="C483" s="24">
        <f t="shared" si="44"/>
        <v>4168.5</v>
      </c>
      <c r="D483" s="24">
        <f t="shared" si="45"/>
        <v>241.5</v>
      </c>
      <c r="E483" s="24">
        <f t="shared" si="46"/>
        <v>4126</v>
      </c>
      <c r="F483" s="25">
        <f t="shared" si="47"/>
        <v>12056.982955201234</v>
      </c>
      <c r="G483" s="19"/>
      <c r="H483" s="20">
        <f t="shared" si="42"/>
        <v>4135.4904452472656</v>
      </c>
      <c r="I483" s="20">
        <f t="shared" si="43"/>
        <v>274.5095547527344</v>
      </c>
    </row>
    <row r="484" spans="1:9" ht="15" customHeight="1" x14ac:dyDescent="0.3">
      <c r="A484" s="17">
        <v>482</v>
      </c>
      <c r="B484" s="17">
        <v>4098</v>
      </c>
      <c r="C484" s="23">
        <f t="shared" si="44"/>
        <v>4207</v>
      </c>
      <c r="D484" s="23">
        <f t="shared" si="45"/>
        <v>-109</v>
      </c>
      <c r="E484" s="23">
        <f t="shared" si="46"/>
        <v>3775.5</v>
      </c>
      <c r="F484" s="26">
        <f t="shared" si="47"/>
        <v>12056.982955201234</v>
      </c>
      <c r="G484" s="19"/>
      <c r="H484" s="23">
        <f t="shared" si="42"/>
        <v>4190.3923561978127</v>
      </c>
      <c r="I484" s="23">
        <f t="shared" si="43"/>
        <v>-92.39235619781266</v>
      </c>
    </row>
    <row r="485" spans="1:9" ht="15" customHeight="1" x14ac:dyDescent="0.3">
      <c r="A485" s="17">
        <v>483</v>
      </c>
      <c r="B485" s="17">
        <v>3671</v>
      </c>
      <c r="C485" s="24">
        <f t="shared" si="44"/>
        <v>4276.75</v>
      </c>
      <c r="D485" s="24">
        <f t="shared" si="45"/>
        <v>-605.75</v>
      </c>
      <c r="E485" s="24">
        <f t="shared" si="46"/>
        <v>3278.75</v>
      </c>
      <c r="F485" s="25">
        <f t="shared" si="47"/>
        <v>10100.754261199691</v>
      </c>
      <c r="G485" s="19"/>
      <c r="H485" s="20">
        <f t="shared" si="42"/>
        <v>4171.9138849582505</v>
      </c>
      <c r="I485" s="20">
        <f t="shared" si="43"/>
        <v>-500.91388495825049</v>
      </c>
    </row>
    <row r="486" spans="1:9" ht="15" customHeight="1" x14ac:dyDescent="0.3">
      <c r="A486" s="17">
        <v>484</v>
      </c>
      <c r="B486" s="17">
        <v>3718</v>
      </c>
      <c r="C486" s="23">
        <f t="shared" si="44"/>
        <v>4110.5</v>
      </c>
      <c r="D486" s="23">
        <f t="shared" si="45"/>
        <v>-392.5</v>
      </c>
      <c r="E486" s="23">
        <f t="shared" si="46"/>
        <v>3492</v>
      </c>
      <c r="F486" s="26">
        <f t="shared" si="47"/>
        <v>10953.754261199691</v>
      </c>
      <c r="G486" s="19"/>
      <c r="H486" s="23">
        <f t="shared" si="42"/>
        <v>4071.7311079666006</v>
      </c>
      <c r="I486" s="23">
        <f t="shared" si="43"/>
        <v>-353.73110796660058</v>
      </c>
    </row>
    <row r="487" spans="1:9" ht="15" customHeight="1" x14ac:dyDescent="0.3">
      <c r="A487" s="17">
        <v>485</v>
      </c>
      <c r="B487" s="17">
        <v>4281</v>
      </c>
      <c r="C487" s="24">
        <f t="shared" si="44"/>
        <v>3974.25</v>
      </c>
      <c r="D487" s="24">
        <f t="shared" si="45"/>
        <v>306.75</v>
      </c>
      <c r="E487" s="24">
        <f t="shared" si="46"/>
        <v>4191.25</v>
      </c>
      <c r="F487" s="25">
        <f t="shared" si="47"/>
        <v>12056.982955201234</v>
      </c>
      <c r="G487" s="19"/>
      <c r="H487" s="20">
        <f t="shared" si="42"/>
        <v>4000.9848863732805</v>
      </c>
      <c r="I487" s="20">
        <f t="shared" si="43"/>
        <v>280.01511362671954</v>
      </c>
    </row>
    <row r="488" spans="1:9" ht="15" customHeight="1" x14ac:dyDescent="0.3">
      <c r="A488" s="17">
        <v>486</v>
      </c>
      <c r="B488" s="17">
        <v>3849</v>
      </c>
      <c r="C488" s="23">
        <f t="shared" si="44"/>
        <v>3942</v>
      </c>
      <c r="D488" s="23">
        <f t="shared" si="45"/>
        <v>-93</v>
      </c>
      <c r="E488" s="23">
        <f t="shared" si="46"/>
        <v>3791.5</v>
      </c>
      <c r="F488" s="26">
        <f t="shared" si="47"/>
        <v>12056.982955201234</v>
      </c>
      <c r="G488" s="19"/>
      <c r="H488" s="23">
        <f t="shared" si="42"/>
        <v>4056.9879090986242</v>
      </c>
      <c r="I488" s="23">
        <f t="shared" si="43"/>
        <v>-207.98790909862419</v>
      </c>
    </row>
    <row r="489" spans="1:9" ht="15" customHeight="1" x14ac:dyDescent="0.3">
      <c r="A489" s="17">
        <v>487</v>
      </c>
      <c r="B489" s="17">
        <v>4187</v>
      </c>
      <c r="C489" s="24">
        <f t="shared" si="44"/>
        <v>3879.75</v>
      </c>
      <c r="D489" s="24">
        <f t="shared" si="45"/>
        <v>307.25</v>
      </c>
      <c r="E489" s="24">
        <f t="shared" si="46"/>
        <v>4191.75</v>
      </c>
      <c r="F489" s="25">
        <f t="shared" si="47"/>
        <v>12056.982955201234</v>
      </c>
      <c r="G489" s="19"/>
      <c r="H489" s="20">
        <f t="shared" si="42"/>
        <v>4015.3903272788998</v>
      </c>
      <c r="I489" s="20">
        <f t="shared" si="43"/>
        <v>171.6096727211002</v>
      </c>
    </row>
    <row r="490" spans="1:9" ht="15" customHeight="1" x14ac:dyDescent="0.3">
      <c r="A490" s="17">
        <v>488</v>
      </c>
      <c r="B490" s="17">
        <v>4367</v>
      </c>
      <c r="C490" s="23">
        <f t="shared" si="44"/>
        <v>4008.75</v>
      </c>
      <c r="D490" s="23">
        <f t="shared" si="45"/>
        <v>358.25</v>
      </c>
      <c r="E490" s="23">
        <f t="shared" si="46"/>
        <v>4242.75</v>
      </c>
      <c r="F490" s="26">
        <f t="shared" si="47"/>
        <v>12056.982955201234</v>
      </c>
      <c r="G490" s="19"/>
      <c r="H490" s="23">
        <f t="shared" si="42"/>
        <v>4049.7122618231201</v>
      </c>
      <c r="I490" s="23">
        <f t="shared" si="43"/>
        <v>317.28773817687988</v>
      </c>
    </row>
    <row r="491" spans="1:9" ht="15" customHeight="1" x14ac:dyDescent="0.3">
      <c r="A491" s="17">
        <v>489</v>
      </c>
      <c r="B491" s="17">
        <v>4005</v>
      </c>
      <c r="C491" s="24">
        <f t="shared" si="44"/>
        <v>4171</v>
      </c>
      <c r="D491" s="24">
        <f t="shared" si="45"/>
        <v>-166</v>
      </c>
      <c r="E491" s="24">
        <f t="shared" si="46"/>
        <v>3718.5</v>
      </c>
      <c r="F491" s="25">
        <f t="shared" si="47"/>
        <v>11859.754261199691</v>
      </c>
      <c r="G491" s="19"/>
      <c r="H491" s="20">
        <f t="shared" si="42"/>
        <v>4113.1698094584963</v>
      </c>
      <c r="I491" s="20">
        <f t="shared" si="43"/>
        <v>-108.16980945849627</v>
      </c>
    </row>
    <row r="492" spans="1:9" ht="15" customHeight="1" x14ac:dyDescent="0.3">
      <c r="A492" s="17">
        <v>490</v>
      </c>
      <c r="B492" s="17">
        <v>3817</v>
      </c>
      <c r="C492" s="23">
        <f t="shared" si="44"/>
        <v>4102</v>
      </c>
      <c r="D492" s="23">
        <f t="shared" si="45"/>
        <v>-285</v>
      </c>
      <c r="E492" s="23">
        <f t="shared" si="46"/>
        <v>3599.5</v>
      </c>
      <c r="F492" s="26">
        <f t="shared" si="47"/>
        <v>11383.754261199691</v>
      </c>
      <c r="G492" s="19"/>
      <c r="H492" s="23">
        <f t="shared" si="42"/>
        <v>4091.5358475667972</v>
      </c>
      <c r="I492" s="23">
        <f t="shared" si="43"/>
        <v>-274.5358475667972</v>
      </c>
    </row>
    <row r="493" spans="1:9" ht="15" customHeight="1" x14ac:dyDescent="0.3">
      <c r="A493" s="17">
        <v>491</v>
      </c>
      <c r="B493" s="17">
        <v>4370</v>
      </c>
      <c r="C493" s="24">
        <f t="shared" si="44"/>
        <v>4094</v>
      </c>
      <c r="D493" s="24">
        <f t="shared" si="45"/>
        <v>276</v>
      </c>
      <c r="E493" s="24">
        <f t="shared" si="46"/>
        <v>4160.5</v>
      </c>
      <c r="F493" s="25">
        <f t="shared" si="47"/>
        <v>12056.982955201234</v>
      </c>
      <c r="G493" s="19"/>
      <c r="H493" s="20">
        <f t="shared" si="42"/>
        <v>4036.6286780534379</v>
      </c>
      <c r="I493" s="20">
        <f t="shared" si="43"/>
        <v>333.37132194656215</v>
      </c>
    </row>
    <row r="494" spans="1:9" ht="15" customHeight="1" x14ac:dyDescent="0.3">
      <c r="A494" s="17">
        <v>492</v>
      </c>
      <c r="B494" s="17">
        <v>3560</v>
      </c>
      <c r="C494" s="23">
        <f t="shared" si="44"/>
        <v>4139.75</v>
      </c>
      <c r="D494" s="23">
        <f t="shared" si="45"/>
        <v>-579.75</v>
      </c>
      <c r="E494" s="23">
        <f t="shared" si="46"/>
        <v>3304.75</v>
      </c>
      <c r="F494" s="26">
        <f t="shared" si="47"/>
        <v>10204.754261199691</v>
      </c>
      <c r="G494" s="19"/>
      <c r="H494" s="23">
        <f t="shared" si="42"/>
        <v>4103.3029424427505</v>
      </c>
      <c r="I494" s="23">
        <f t="shared" si="43"/>
        <v>-543.30294244275046</v>
      </c>
    </row>
    <row r="495" spans="1:9" ht="15" customHeight="1" x14ac:dyDescent="0.3">
      <c r="A495" s="17">
        <v>493</v>
      </c>
      <c r="B495" s="17">
        <v>4185</v>
      </c>
      <c r="C495" s="24">
        <f t="shared" si="44"/>
        <v>3938</v>
      </c>
      <c r="D495" s="24">
        <f t="shared" si="45"/>
        <v>247</v>
      </c>
      <c r="E495" s="24">
        <f t="shared" si="46"/>
        <v>4131.5</v>
      </c>
      <c r="F495" s="25">
        <f t="shared" si="47"/>
        <v>12056.982955201234</v>
      </c>
      <c r="G495" s="19"/>
      <c r="H495" s="20">
        <f t="shared" si="42"/>
        <v>3994.6423539542006</v>
      </c>
      <c r="I495" s="20">
        <f t="shared" si="43"/>
        <v>190.35764604579936</v>
      </c>
    </row>
    <row r="496" spans="1:9" ht="15" customHeight="1" x14ac:dyDescent="0.3">
      <c r="A496" s="17">
        <v>494</v>
      </c>
      <c r="B496" s="17">
        <v>3929</v>
      </c>
      <c r="C496" s="23">
        <f t="shared" si="44"/>
        <v>3983</v>
      </c>
      <c r="D496" s="23">
        <f t="shared" si="45"/>
        <v>-54</v>
      </c>
      <c r="E496" s="23">
        <f t="shared" si="46"/>
        <v>3830.5</v>
      </c>
      <c r="F496" s="26">
        <f t="shared" si="47"/>
        <v>12056.982955201234</v>
      </c>
      <c r="G496" s="19"/>
      <c r="H496" s="23">
        <f t="shared" si="42"/>
        <v>4032.7138831633606</v>
      </c>
      <c r="I496" s="23">
        <f t="shared" si="43"/>
        <v>-103.71388316336061</v>
      </c>
    </row>
    <row r="497" spans="1:9" ht="15" customHeight="1" x14ac:dyDescent="0.3">
      <c r="A497" s="17">
        <v>495</v>
      </c>
      <c r="B497" s="17">
        <v>4396</v>
      </c>
      <c r="C497" s="24">
        <f t="shared" si="44"/>
        <v>4011</v>
      </c>
      <c r="D497" s="24">
        <f t="shared" si="45"/>
        <v>385</v>
      </c>
      <c r="E497" s="24">
        <f t="shared" si="46"/>
        <v>4269.5</v>
      </c>
      <c r="F497" s="25">
        <f t="shared" si="47"/>
        <v>12056.982955201234</v>
      </c>
      <c r="G497" s="19"/>
      <c r="H497" s="20">
        <f t="shared" si="42"/>
        <v>4011.9711065306888</v>
      </c>
      <c r="I497" s="20">
        <f t="shared" si="43"/>
        <v>384.02889346931124</v>
      </c>
    </row>
    <row r="498" spans="1:9" ht="15" customHeight="1" x14ac:dyDescent="0.3">
      <c r="A498" s="17">
        <v>496</v>
      </c>
      <c r="B498" s="17">
        <v>4329</v>
      </c>
      <c r="C498" s="23">
        <f t="shared" si="44"/>
        <v>4017.5</v>
      </c>
      <c r="D498" s="23">
        <f t="shared" si="45"/>
        <v>311.5</v>
      </c>
      <c r="E498" s="23">
        <f t="shared" si="46"/>
        <v>4196</v>
      </c>
      <c r="F498" s="26">
        <f t="shared" si="47"/>
        <v>12056.982955201234</v>
      </c>
      <c r="G498" s="19"/>
      <c r="H498" s="23">
        <f t="shared" si="42"/>
        <v>4088.7768852245508</v>
      </c>
      <c r="I498" s="23">
        <f t="shared" si="43"/>
        <v>240.22311477544918</v>
      </c>
    </row>
    <row r="499" spans="1:9" ht="15" customHeight="1" x14ac:dyDescent="0.3">
      <c r="A499" s="17">
        <v>497</v>
      </c>
      <c r="B499" s="17">
        <v>4043</v>
      </c>
      <c r="C499" s="24">
        <f t="shared" si="44"/>
        <v>4209.75</v>
      </c>
      <c r="D499" s="24">
        <f t="shared" si="45"/>
        <v>-166.75</v>
      </c>
      <c r="E499" s="24">
        <f t="shared" si="46"/>
        <v>3717.75</v>
      </c>
      <c r="F499" s="25">
        <f t="shared" si="47"/>
        <v>11856.754261199691</v>
      </c>
      <c r="G499" s="19"/>
      <c r="H499" s="20">
        <f t="shared" si="42"/>
        <v>4136.8215081796407</v>
      </c>
      <c r="I499" s="20">
        <f t="shared" si="43"/>
        <v>-93.821508179640659</v>
      </c>
    </row>
    <row r="500" spans="1:9" ht="15" customHeight="1" x14ac:dyDescent="0.3">
      <c r="A500" s="17">
        <v>498</v>
      </c>
      <c r="B500" s="17">
        <v>3616</v>
      </c>
      <c r="C500" s="23">
        <f t="shared" si="44"/>
        <v>4174.25</v>
      </c>
      <c r="D500" s="23">
        <f t="shared" si="45"/>
        <v>-558.25</v>
      </c>
      <c r="E500" s="23">
        <f t="shared" si="46"/>
        <v>3326.25</v>
      </c>
      <c r="F500" s="26">
        <f t="shared" si="47"/>
        <v>10290.754261199691</v>
      </c>
      <c r="G500" s="19"/>
      <c r="H500" s="23">
        <f t="shared" si="42"/>
        <v>4118.0572065437127</v>
      </c>
      <c r="I500" s="23">
        <f t="shared" si="43"/>
        <v>-502.05720654371271</v>
      </c>
    </row>
    <row r="501" spans="1:9" ht="15" customHeight="1" x14ac:dyDescent="0.3">
      <c r="A501" s="17">
        <v>499</v>
      </c>
      <c r="B501" s="17">
        <v>3550</v>
      </c>
      <c r="C501" s="24">
        <f t="shared" si="44"/>
        <v>4096</v>
      </c>
      <c r="D501" s="24">
        <f t="shared" si="45"/>
        <v>-546</v>
      </c>
      <c r="E501" s="24">
        <f t="shared" si="46"/>
        <v>3338.5</v>
      </c>
      <c r="F501" s="25">
        <f t="shared" si="47"/>
        <v>10339.754261199691</v>
      </c>
      <c r="G501" s="19"/>
      <c r="H501" s="20">
        <f t="shared" si="42"/>
        <v>4017.64576523497</v>
      </c>
      <c r="I501" s="20">
        <f t="shared" si="43"/>
        <v>-467.64576523496999</v>
      </c>
    </row>
    <row r="502" spans="1:9" ht="15" customHeight="1" x14ac:dyDescent="0.3">
      <c r="A502" s="17">
        <v>500</v>
      </c>
      <c r="B502" s="17">
        <v>4065</v>
      </c>
      <c r="C502" s="23">
        <f t="shared" si="44"/>
        <v>3884.5</v>
      </c>
      <c r="D502" s="23">
        <f t="shared" si="45"/>
        <v>180.5</v>
      </c>
      <c r="E502" s="23">
        <f t="shared" si="46"/>
        <v>4065</v>
      </c>
      <c r="F502" s="26">
        <f t="shared" si="47"/>
        <v>12056.982955201234</v>
      </c>
      <c r="G502" s="19"/>
      <c r="H502" s="23">
        <f t="shared" si="42"/>
        <v>3924.116612187976</v>
      </c>
      <c r="I502" s="23">
        <f t="shared" si="43"/>
        <v>140.88338781202401</v>
      </c>
    </row>
    <row r="503" spans="1:9" ht="1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</row>
    <row r="504" spans="1:9" ht="15" customHeight="1" x14ac:dyDescent="0.3">
      <c r="A504" s="3" t="s">
        <v>24</v>
      </c>
      <c r="B504" s="3"/>
      <c r="C504" s="27"/>
      <c r="D504" s="28">
        <f>AVERAGE(D3:D303)</f>
        <v>11.372053872053872</v>
      </c>
      <c r="I504" s="28">
        <f>AVERAGE(I3:I303)</f>
        <v>20.908855319750643</v>
      </c>
    </row>
    <row r="505" spans="1:9" ht="15" customHeight="1" x14ac:dyDescent="0.3">
      <c r="A505" s="3" t="s">
        <v>25</v>
      </c>
      <c r="B505" s="3"/>
      <c r="C505" s="27"/>
      <c r="D505" s="28">
        <f>STDEV(D3:D303)</f>
        <v>339.80717350038594</v>
      </c>
      <c r="I505" s="28">
        <f>STDEV(I3:I303)</f>
        <v>314.49080465450874</v>
      </c>
    </row>
    <row r="506" spans="1:9" ht="15" customHeight="1" x14ac:dyDescent="0.3">
      <c r="A506" s="3" t="s">
        <v>26</v>
      </c>
      <c r="B506" s="3"/>
      <c r="C506" s="27"/>
      <c r="D506" s="28">
        <f>MIN(D3:D303)</f>
        <v>-712.25</v>
      </c>
      <c r="I506" s="28">
        <f>MIN(I3:I303)</f>
        <v>-619.41414898134053</v>
      </c>
    </row>
    <row r="507" spans="1:9" ht="15" customHeight="1" x14ac:dyDescent="0.3">
      <c r="A507" s="3" t="s">
        <v>27</v>
      </c>
      <c r="B507" s="3"/>
      <c r="C507" s="27"/>
      <c r="D507" s="28">
        <f>MAX(D3:D303)</f>
        <v>768.75</v>
      </c>
      <c r="I507" s="28">
        <f>MAX(I3:I303)</f>
        <v>690.67558130226871</v>
      </c>
    </row>
    <row r="508" spans="1:9" ht="15" customHeight="1" x14ac:dyDescent="0.3">
      <c r="A508" s="3" t="s">
        <v>28</v>
      </c>
      <c r="B508" s="3"/>
      <c r="C508" s="27"/>
      <c r="D508" s="28">
        <f>AVERAGE(F3:F303)</f>
        <v>11707.158086877374</v>
      </c>
      <c r="I508" s="28" t="s">
        <v>39</v>
      </c>
    </row>
    <row r="509" spans="1:9" ht="15" customHeight="1" x14ac:dyDescent="0.3">
      <c r="A509" s="2" t="s">
        <v>40</v>
      </c>
      <c r="B509" s="2"/>
      <c r="C509" s="2"/>
      <c r="D509" s="28">
        <f>C303+STDEV(D3:D303)</f>
        <v>3767.8071735003859</v>
      </c>
      <c r="E509" s="28">
        <f>C303+STDEV(D3:D303)</f>
        <v>3767.8071735003859</v>
      </c>
    </row>
  </sheetData>
  <mergeCells count="8">
    <mergeCell ref="A507:B507"/>
    <mergeCell ref="A508:B508"/>
    <mergeCell ref="A509:C509"/>
    <mergeCell ref="A1:F1"/>
    <mergeCell ref="H1:I1"/>
    <mergeCell ref="A504:B504"/>
    <mergeCell ref="A505:B505"/>
    <mergeCell ref="A506:B50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4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1" customWidth="1"/>
    <col min="3" max="3" width="16" customWidth="1"/>
    <col min="4" max="4" width="13" customWidth="1"/>
    <col min="5" max="5" width="12" customWidth="1"/>
    <col min="6" max="7" width="14" customWidth="1"/>
  </cols>
  <sheetData>
    <row r="1" spans="1:7" ht="19.5" customHeight="1" x14ac:dyDescent="0.3">
      <c r="A1" s="1" t="s">
        <v>41</v>
      </c>
      <c r="B1" s="1"/>
      <c r="C1" s="1"/>
      <c r="D1" s="1"/>
      <c r="E1" s="1"/>
      <c r="F1" s="1"/>
      <c r="G1" s="1"/>
    </row>
    <row r="2" spans="1:7" ht="30" customHeight="1" x14ac:dyDescent="0.3">
      <c r="A2" s="29" t="s">
        <v>32</v>
      </c>
      <c r="B2" s="29" t="s">
        <v>33</v>
      </c>
      <c r="C2" s="29" t="s">
        <v>38</v>
      </c>
      <c r="D2" s="29" t="s">
        <v>35</v>
      </c>
      <c r="E2" s="29" t="s">
        <v>42</v>
      </c>
      <c r="F2" s="29" t="s">
        <v>36</v>
      </c>
      <c r="G2" s="29" t="s">
        <v>37</v>
      </c>
    </row>
    <row r="3" spans="1:7" ht="15" customHeight="1" x14ac:dyDescent="0.3">
      <c r="A3" s="17">
        <v>1</v>
      </c>
      <c r="B3" s="17">
        <v>1974</v>
      </c>
      <c r="C3" s="30">
        <v>1974</v>
      </c>
      <c r="D3" s="31"/>
      <c r="E3" s="31"/>
      <c r="F3" s="31"/>
      <c r="G3" s="31"/>
    </row>
    <row r="4" spans="1:7" ht="15" customHeight="1" x14ac:dyDescent="0.3">
      <c r="A4" s="17">
        <v>2</v>
      </c>
      <c r="B4" s="17">
        <v>1919</v>
      </c>
      <c r="C4" s="23">
        <f t="shared" ref="C4:C67" si="0">0.2*B3+0.8*C3</f>
        <v>1974</v>
      </c>
      <c r="D4" s="23">
        <f t="shared" ref="D4:D67" si="1">B4-C4</f>
        <v>-55</v>
      </c>
      <c r="E4" s="22"/>
      <c r="F4" s="22"/>
      <c r="G4" s="22"/>
    </row>
    <row r="5" spans="1:7" ht="15" customHeight="1" x14ac:dyDescent="0.3">
      <c r="A5" s="17">
        <v>3</v>
      </c>
      <c r="B5" s="17">
        <v>1731</v>
      </c>
      <c r="C5" s="30">
        <f t="shared" si="0"/>
        <v>1963</v>
      </c>
      <c r="D5" s="30">
        <f t="shared" si="1"/>
        <v>-232</v>
      </c>
      <c r="E5" s="30">
        <f>PERCENTILE(D$4:D5,0.8)</f>
        <v>-90.4</v>
      </c>
      <c r="F5" s="30">
        <f t="shared" ref="F5:F68" si="2">C5+E5</f>
        <v>1872.6</v>
      </c>
      <c r="G5" s="32">
        <f t="shared" ref="G5:G68" si="3">4*MIN(F5,B5)-0.8*F5</f>
        <v>5425.92</v>
      </c>
    </row>
    <row r="6" spans="1:7" ht="15" customHeight="1" x14ac:dyDescent="0.3">
      <c r="A6" s="17">
        <v>4</v>
      </c>
      <c r="B6" s="17">
        <v>1668</v>
      </c>
      <c r="C6" s="23">
        <f t="shared" si="0"/>
        <v>1916.6000000000001</v>
      </c>
      <c r="D6" s="23">
        <f t="shared" si="1"/>
        <v>-248.60000000000014</v>
      </c>
      <c r="E6" s="23">
        <f>PERCENTILE(D$4:D6,0.8)</f>
        <v>-125.79999999999998</v>
      </c>
      <c r="F6" s="23">
        <f t="shared" si="2"/>
        <v>1790.8000000000002</v>
      </c>
      <c r="G6" s="26">
        <f t="shared" si="3"/>
        <v>5239.3599999999997</v>
      </c>
    </row>
    <row r="7" spans="1:7" ht="15" customHeight="1" x14ac:dyDescent="0.3">
      <c r="A7" s="17">
        <v>5</v>
      </c>
      <c r="B7" s="17">
        <v>1895</v>
      </c>
      <c r="C7" s="30">
        <f t="shared" si="0"/>
        <v>1866.88</v>
      </c>
      <c r="D7" s="30">
        <f t="shared" si="1"/>
        <v>28.119999999999891</v>
      </c>
      <c r="E7" s="30">
        <f>PERCENTILE(D$4:D7,0.8)</f>
        <v>-21.752000000000017</v>
      </c>
      <c r="F7" s="30">
        <f t="shared" si="2"/>
        <v>1845.1280000000002</v>
      </c>
      <c r="G7" s="32">
        <f t="shared" si="3"/>
        <v>5904.4096000000009</v>
      </c>
    </row>
    <row r="8" spans="1:7" ht="15" customHeight="1" x14ac:dyDescent="0.3">
      <c r="A8" s="17">
        <v>6</v>
      </c>
      <c r="B8" s="17">
        <v>2369</v>
      </c>
      <c r="C8" s="23">
        <f t="shared" si="0"/>
        <v>1872.5040000000001</v>
      </c>
      <c r="D8" s="23">
        <f t="shared" si="1"/>
        <v>496.49599999999987</v>
      </c>
      <c r="E8" s="23">
        <f>PERCENTILE(D$4:D8,0.8)</f>
        <v>121.79519999999997</v>
      </c>
      <c r="F8" s="23">
        <f t="shared" si="2"/>
        <v>1994.2992000000002</v>
      </c>
      <c r="G8" s="26">
        <f t="shared" si="3"/>
        <v>6381.7574400000003</v>
      </c>
    </row>
    <row r="9" spans="1:7" ht="15" customHeight="1" x14ac:dyDescent="0.3">
      <c r="A9" s="17">
        <v>7</v>
      </c>
      <c r="B9" s="17">
        <v>1606</v>
      </c>
      <c r="C9" s="30">
        <f t="shared" si="0"/>
        <v>1971.8032000000001</v>
      </c>
      <c r="D9" s="30">
        <f t="shared" si="1"/>
        <v>-365.80320000000006</v>
      </c>
      <c r="E9" s="30">
        <f>PERCENTILE(D$4:D9,0.8)</f>
        <v>28.119999999999891</v>
      </c>
      <c r="F9" s="30">
        <f t="shared" si="2"/>
        <v>1999.9232</v>
      </c>
      <c r="G9" s="32">
        <f t="shared" si="3"/>
        <v>4824.0614399999995</v>
      </c>
    </row>
    <row r="10" spans="1:7" ht="15" customHeight="1" x14ac:dyDescent="0.3">
      <c r="A10" s="17">
        <v>8</v>
      </c>
      <c r="B10" s="17">
        <v>2468</v>
      </c>
      <c r="C10" s="23">
        <f t="shared" si="0"/>
        <v>1898.6425600000002</v>
      </c>
      <c r="D10" s="23">
        <f t="shared" si="1"/>
        <v>569.35743999999977</v>
      </c>
      <c r="E10" s="23">
        <f>PERCENTILE(D$4:D10,0.8)</f>
        <v>402.82080000000019</v>
      </c>
      <c r="F10" s="23">
        <f t="shared" si="2"/>
        <v>2301.4633600000006</v>
      </c>
      <c r="G10" s="26">
        <f t="shared" si="3"/>
        <v>7364.6827520000024</v>
      </c>
    </row>
    <row r="11" spans="1:7" ht="15" customHeight="1" x14ac:dyDescent="0.3">
      <c r="A11" s="17">
        <v>9</v>
      </c>
      <c r="B11" s="17">
        <v>2168</v>
      </c>
      <c r="C11" s="30">
        <f t="shared" si="0"/>
        <v>2012.5140480000005</v>
      </c>
      <c r="D11" s="30">
        <f t="shared" si="1"/>
        <v>155.48595199999954</v>
      </c>
      <c r="E11" s="30">
        <f>PERCENTILE(D$4:D11,0.8)</f>
        <v>360.09198079999993</v>
      </c>
      <c r="F11" s="30">
        <f t="shared" si="2"/>
        <v>2372.6060288000003</v>
      </c>
      <c r="G11" s="32">
        <f t="shared" si="3"/>
        <v>6773.9151769599994</v>
      </c>
    </row>
    <row r="12" spans="1:7" ht="15" customHeight="1" x14ac:dyDescent="0.3">
      <c r="A12" s="17">
        <v>10</v>
      </c>
      <c r="B12" s="17">
        <v>2535</v>
      </c>
      <c r="C12" s="23">
        <f t="shared" si="0"/>
        <v>2043.6112384000003</v>
      </c>
      <c r="D12" s="23">
        <f t="shared" si="1"/>
        <v>491.38876159999973</v>
      </c>
      <c r="E12" s="23">
        <f>PERCENTILE(D$4:D12,0.8)</f>
        <v>493.43165695999977</v>
      </c>
      <c r="F12" s="23">
        <f t="shared" si="2"/>
        <v>2537.0428953599999</v>
      </c>
      <c r="G12" s="26">
        <f t="shared" si="3"/>
        <v>8110.3656837119997</v>
      </c>
    </row>
    <row r="13" spans="1:7" ht="15" customHeight="1" x14ac:dyDescent="0.3">
      <c r="A13" s="17">
        <v>11</v>
      </c>
      <c r="B13" s="17">
        <v>1835</v>
      </c>
      <c r="C13" s="30">
        <f t="shared" si="0"/>
        <v>2141.88899072</v>
      </c>
      <c r="D13" s="30">
        <f t="shared" si="1"/>
        <v>-306.88899072000004</v>
      </c>
      <c r="E13" s="30">
        <f>PERCENTILE(D$4:D13,0.8)</f>
        <v>492.41020927999978</v>
      </c>
      <c r="F13" s="30">
        <f t="shared" si="2"/>
        <v>2634.2991999999999</v>
      </c>
      <c r="G13" s="32">
        <f t="shared" si="3"/>
        <v>5232.5606399999997</v>
      </c>
    </row>
    <row r="14" spans="1:7" ht="15" customHeight="1" x14ac:dyDescent="0.3">
      <c r="A14" s="17">
        <v>12</v>
      </c>
      <c r="B14" s="17">
        <v>2355</v>
      </c>
      <c r="C14" s="23">
        <f t="shared" si="0"/>
        <v>2080.5111925760002</v>
      </c>
      <c r="D14" s="23">
        <f t="shared" si="1"/>
        <v>274.48880742399979</v>
      </c>
      <c r="E14" s="23">
        <f>PERCENTILE(D$4:D14,0.8)</f>
        <v>491.38876159999973</v>
      </c>
      <c r="F14" s="23">
        <f t="shared" si="2"/>
        <v>2571.8999541759999</v>
      </c>
      <c r="G14" s="26">
        <f t="shared" si="3"/>
        <v>7362.4800366591999</v>
      </c>
    </row>
    <row r="15" spans="1:7" ht="15" customHeight="1" x14ac:dyDescent="0.3">
      <c r="A15" s="17">
        <v>13</v>
      </c>
      <c r="B15" s="17">
        <v>1640</v>
      </c>
      <c r="C15" s="30">
        <f t="shared" si="0"/>
        <v>2135.4089540608002</v>
      </c>
      <c r="D15" s="30">
        <f t="shared" si="1"/>
        <v>-495.40895406080017</v>
      </c>
      <c r="E15" s="30">
        <f>PERCENTILE(D$4:D15,0.8)</f>
        <v>448.00877076479992</v>
      </c>
      <c r="F15" s="30">
        <f t="shared" si="2"/>
        <v>2583.4177248256001</v>
      </c>
      <c r="G15" s="32">
        <f t="shared" si="3"/>
        <v>4493.2658201395197</v>
      </c>
    </row>
    <row r="16" spans="1:7" ht="15" customHeight="1" x14ac:dyDescent="0.3">
      <c r="A16" s="17">
        <v>14</v>
      </c>
      <c r="B16" s="17">
        <v>2026</v>
      </c>
      <c r="C16" s="23">
        <f t="shared" si="0"/>
        <v>2036.3271632486403</v>
      </c>
      <c r="D16" s="23">
        <f t="shared" si="1"/>
        <v>-10.327163248640318</v>
      </c>
      <c r="E16" s="23">
        <f>PERCENTILE(D$4:D16,0.8)</f>
        <v>404.62877992960006</v>
      </c>
      <c r="F16" s="23">
        <f t="shared" si="2"/>
        <v>2440.9559431782404</v>
      </c>
      <c r="G16" s="26">
        <f t="shared" si="3"/>
        <v>6151.2352454574075</v>
      </c>
    </row>
    <row r="17" spans="1:7" ht="15" customHeight="1" x14ac:dyDescent="0.3">
      <c r="A17" s="17">
        <v>15</v>
      </c>
      <c r="B17" s="17">
        <v>2209</v>
      </c>
      <c r="C17" s="30">
        <f t="shared" si="0"/>
        <v>2034.2617305989124</v>
      </c>
      <c r="D17" s="30">
        <f t="shared" si="1"/>
        <v>174.73826940108756</v>
      </c>
      <c r="E17" s="30">
        <f>PERCENTILE(D$4:D17,0.8)</f>
        <v>361.24878909439985</v>
      </c>
      <c r="F17" s="30">
        <f t="shared" si="2"/>
        <v>2395.5105196933123</v>
      </c>
      <c r="G17" s="32">
        <f t="shared" si="3"/>
        <v>6919.5915842453505</v>
      </c>
    </row>
    <row r="18" spans="1:7" ht="15" customHeight="1" x14ac:dyDescent="0.3">
      <c r="A18" s="17">
        <v>16</v>
      </c>
      <c r="B18" s="17">
        <v>1845</v>
      </c>
      <c r="C18" s="23">
        <f t="shared" si="0"/>
        <v>2069.2093844791302</v>
      </c>
      <c r="D18" s="23">
        <f t="shared" si="1"/>
        <v>-224.20938447913022</v>
      </c>
      <c r="E18" s="23">
        <f>PERCENTILE(D$4:D18,0.8)</f>
        <v>317.86879825919999</v>
      </c>
      <c r="F18" s="23">
        <f t="shared" si="2"/>
        <v>2387.0781827383303</v>
      </c>
      <c r="G18" s="26">
        <f t="shared" si="3"/>
        <v>5470.3374538093358</v>
      </c>
    </row>
    <row r="19" spans="1:7" ht="15" customHeight="1" x14ac:dyDescent="0.3">
      <c r="A19" s="17">
        <v>17</v>
      </c>
      <c r="B19" s="17">
        <v>1701</v>
      </c>
      <c r="C19" s="30">
        <f t="shared" si="0"/>
        <v>2024.3675075833044</v>
      </c>
      <c r="D19" s="30">
        <f t="shared" si="1"/>
        <v>-323.36750758330436</v>
      </c>
      <c r="E19" s="30">
        <f>PERCENTILE(D$4:D19,0.8)</f>
        <v>274.48880742399979</v>
      </c>
      <c r="F19" s="30">
        <f t="shared" si="2"/>
        <v>2298.8563150073041</v>
      </c>
      <c r="G19" s="32">
        <f t="shared" si="3"/>
        <v>4964.914947994157</v>
      </c>
    </row>
    <row r="20" spans="1:7" ht="15" customHeight="1" x14ac:dyDescent="0.3">
      <c r="A20" s="17">
        <v>18</v>
      </c>
      <c r="B20" s="17">
        <v>1938</v>
      </c>
      <c r="C20" s="23">
        <f t="shared" si="0"/>
        <v>1959.6940060666436</v>
      </c>
      <c r="D20" s="23">
        <f t="shared" si="1"/>
        <v>-21.694006066643624</v>
      </c>
      <c r="E20" s="23">
        <f>PERCENTILE(D$4:D20,0.8)</f>
        <v>254.53869981941742</v>
      </c>
      <c r="F20" s="23">
        <f t="shared" si="2"/>
        <v>2214.232705886061</v>
      </c>
      <c r="G20" s="26">
        <f t="shared" si="3"/>
        <v>5980.6138352911512</v>
      </c>
    </row>
    <row r="21" spans="1:7" ht="15" customHeight="1" x14ac:dyDescent="0.3">
      <c r="A21" s="17">
        <v>19</v>
      </c>
      <c r="B21" s="17">
        <v>2521</v>
      </c>
      <c r="C21" s="30">
        <f t="shared" si="0"/>
        <v>1955.3552048533152</v>
      </c>
      <c r="D21" s="30">
        <f t="shared" si="1"/>
        <v>565.64479514668483</v>
      </c>
      <c r="E21" s="30">
        <f>PERCENTILE(D$4:D21,0.8)</f>
        <v>404.62877992960006</v>
      </c>
      <c r="F21" s="30">
        <f t="shared" si="2"/>
        <v>2359.9839847829153</v>
      </c>
      <c r="G21" s="32">
        <f t="shared" si="3"/>
        <v>7551.9487513053291</v>
      </c>
    </row>
    <row r="22" spans="1:7" ht="15" customHeight="1" x14ac:dyDescent="0.3">
      <c r="A22" s="17">
        <v>20</v>
      </c>
      <c r="B22" s="17">
        <v>2104</v>
      </c>
      <c r="C22" s="23">
        <f t="shared" si="0"/>
        <v>2068.484163882652</v>
      </c>
      <c r="D22" s="23">
        <f t="shared" si="1"/>
        <v>35.515836117348044</v>
      </c>
      <c r="E22" s="23">
        <f>PERCENTILE(D$4:D22,0.8)</f>
        <v>361.24878909439985</v>
      </c>
      <c r="F22" s="23">
        <f t="shared" si="2"/>
        <v>2429.7329529770518</v>
      </c>
      <c r="G22" s="26">
        <f t="shared" si="3"/>
        <v>6472.2136376183589</v>
      </c>
    </row>
    <row r="23" spans="1:7" ht="15" customHeight="1" x14ac:dyDescent="0.3">
      <c r="A23" s="17">
        <v>21</v>
      </c>
      <c r="B23" s="17">
        <v>1754</v>
      </c>
      <c r="C23" s="30">
        <f t="shared" si="0"/>
        <v>2075.5873311061218</v>
      </c>
      <c r="D23" s="30">
        <f t="shared" si="1"/>
        <v>-321.58733110612184</v>
      </c>
      <c r="E23" s="30">
        <f>PERCENTILE(D$4:D23,0.8)</f>
        <v>317.86879825920039</v>
      </c>
      <c r="F23" s="30">
        <f t="shared" si="2"/>
        <v>2393.4561293653223</v>
      </c>
      <c r="G23" s="32">
        <f t="shared" si="3"/>
        <v>5101.2350965077421</v>
      </c>
    </row>
    <row r="24" spans="1:7" ht="15" customHeight="1" x14ac:dyDescent="0.3">
      <c r="A24" s="17">
        <v>22</v>
      </c>
      <c r="B24" s="17">
        <v>2314</v>
      </c>
      <c r="C24" s="23">
        <f t="shared" si="0"/>
        <v>2011.2698648848975</v>
      </c>
      <c r="D24" s="23">
        <f t="shared" si="1"/>
        <v>302.73013511510248</v>
      </c>
      <c r="E24" s="23">
        <f>PERCENTILE(D$4:D24,0.8)</f>
        <v>302.73013511510248</v>
      </c>
      <c r="F24" s="23">
        <f t="shared" si="2"/>
        <v>2314</v>
      </c>
      <c r="G24" s="26">
        <f t="shared" si="3"/>
        <v>7404.8</v>
      </c>
    </row>
    <row r="25" spans="1:7" ht="15" customHeight="1" x14ac:dyDescent="0.3">
      <c r="A25" s="17">
        <v>23</v>
      </c>
      <c r="B25" s="17">
        <v>1948</v>
      </c>
      <c r="C25" s="30">
        <f t="shared" si="0"/>
        <v>2071.8158919079183</v>
      </c>
      <c r="D25" s="30">
        <f t="shared" si="1"/>
        <v>-123.81589190791829</v>
      </c>
      <c r="E25" s="30">
        <f>PERCENTILE(D$4:D25,0.8)</f>
        <v>297.08186957688196</v>
      </c>
      <c r="F25" s="30">
        <f t="shared" si="2"/>
        <v>2368.8977614848004</v>
      </c>
      <c r="G25" s="32">
        <f t="shared" si="3"/>
        <v>5896.88179081216</v>
      </c>
    </row>
    <row r="26" spans="1:7" ht="15" customHeight="1" x14ac:dyDescent="0.3">
      <c r="A26" s="17">
        <v>24</v>
      </c>
      <c r="B26" s="17">
        <v>2052</v>
      </c>
      <c r="C26" s="23">
        <f t="shared" si="0"/>
        <v>2047.0527135263346</v>
      </c>
      <c r="D26" s="23">
        <f t="shared" si="1"/>
        <v>4.9472864736653719</v>
      </c>
      <c r="E26" s="23">
        <f>PERCENTILE(D$4:D26,0.8)</f>
        <v>291.43360403866143</v>
      </c>
      <c r="F26" s="23">
        <f t="shared" si="2"/>
        <v>2338.4863175649962</v>
      </c>
      <c r="G26" s="26">
        <f t="shared" si="3"/>
        <v>6337.2109459480034</v>
      </c>
    </row>
    <row r="27" spans="1:7" ht="15" customHeight="1" x14ac:dyDescent="0.3">
      <c r="A27" s="17">
        <v>25</v>
      </c>
      <c r="B27" s="17">
        <v>2270</v>
      </c>
      <c r="C27" s="30">
        <f t="shared" si="0"/>
        <v>2048.0421708210679</v>
      </c>
      <c r="D27" s="30">
        <f t="shared" si="1"/>
        <v>221.95782917893212</v>
      </c>
      <c r="E27" s="30">
        <f>PERCENTILE(D$4:D27,0.8)</f>
        <v>285.7853385004409</v>
      </c>
      <c r="F27" s="30">
        <f t="shared" si="2"/>
        <v>2333.8275093215088</v>
      </c>
      <c r="G27" s="32">
        <f t="shared" si="3"/>
        <v>7212.9379925427929</v>
      </c>
    </row>
    <row r="28" spans="1:7" ht="15" customHeight="1" x14ac:dyDescent="0.3">
      <c r="A28" s="17">
        <v>26</v>
      </c>
      <c r="B28" s="17">
        <v>1613</v>
      </c>
      <c r="C28" s="23">
        <f t="shared" si="0"/>
        <v>2092.4337366568543</v>
      </c>
      <c r="D28" s="23">
        <f t="shared" si="1"/>
        <v>-479.43373665685431</v>
      </c>
      <c r="E28" s="23">
        <f>PERCENTILE(D$4:D28,0.8)</f>
        <v>280.13707296222043</v>
      </c>
      <c r="F28" s="23">
        <f t="shared" si="2"/>
        <v>2372.5708096190747</v>
      </c>
      <c r="G28" s="26">
        <f t="shared" si="3"/>
        <v>4553.9433523047401</v>
      </c>
    </row>
    <row r="29" spans="1:7" ht="15" customHeight="1" x14ac:dyDescent="0.3">
      <c r="A29" s="17">
        <v>27</v>
      </c>
      <c r="B29" s="17">
        <v>1826</v>
      </c>
      <c r="C29" s="30">
        <f t="shared" si="0"/>
        <v>1996.5469893254835</v>
      </c>
      <c r="D29" s="30">
        <f t="shared" si="1"/>
        <v>-170.54698932548354</v>
      </c>
      <c r="E29" s="30">
        <f>PERCENTILE(D$4:D29,0.8)</f>
        <v>274.48880742399979</v>
      </c>
      <c r="F29" s="30">
        <f t="shared" si="2"/>
        <v>2271.0357967494833</v>
      </c>
      <c r="G29" s="32">
        <f t="shared" si="3"/>
        <v>5487.171362600413</v>
      </c>
    </row>
    <row r="30" spans="1:7" ht="15" customHeight="1" x14ac:dyDescent="0.3">
      <c r="A30" s="17">
        <v>28</v>
      </c>
      <c r="B30" s="17">
        <v>2386</v>
      </c>
      <c r="C30" s="23">
        <f t="shared" si="0"/>
        <v>1962.437591460387</v>
      </c>
      <c r="D30" s="23">
        <f t="shared" si="1"/>
        <v>423.56240853961299</v>
      </c>
      <c r="E30" s="23">
        <f>PERCENTILE(D$4:D30,0.8)</f>
        <v>297.08186957688196</v>
      </c>
      <c r="F30" s="23">
        <f t="shared" si="2"/>
        <v>2259.5194610372691</v>
      </c>
      <c r="G30" s="26">
        <f t="shared" si="3"/>
        <v>7230.4622753192616</v>
      </c>
    </row>
    <row r="31" spans="1:7" ht="15" customHeight="1" x14ac:dyDescent="0.3">
      <c r="A31" s="17">
        <v>29</v>
      </c>
      <c r="B31" s="17">
        <v>2391</v>
      </c>
      <c r="C31" s="30">
        <f t="shared" si="0"/>
        <v>2047.1500731683097</v>
      </c>
      <c r="D31" s="30">
        <f t="shared" si="1"/>
        <v>343.84992683169025</v>
      </c>
      <c r="E31" s="30">
        <f>PERCENTILE(D$4:D31,0.8)</f>
        <v>327.40201014505521</v>
      </c>
      <c r="F31" s="30">
        <f t="shared" si="2"/>
        <v>2374.5520833133651</v>
      </c>
      <c r="G31" s="32">
        <f t="shared" si="3"/>
        <v>7598.5666666027682</v>
      </c>
    </row>
    <row r="32" spans="1:7" ht="15" customHeight="1" x14ac:dyDescent="0.3">
      <c r="A32" s="17">
        <v>30</v>
      </c>
      <c r="B32" s="17">
        <v>2539</v>
      </c>
      <c r="C32" s="23">
        <f t="shared" si="0"/>
        <v>2115.920058534648</v>
      </c>
      <c r="D32" s="23">
        <f t="shared" si="1"/>
        <v>423.07994146535202</v>
      </c>
      <c r="E32" s="23">
        <f>PERCENTILE(D$4:D32,0.8)</f>
        <v>375.54193268515513</v>
      </c>
      <c r="F32" s="23">
        <f t="shared" si="2"/>
        <v>2491.4619912198032</v>
      </c>
      <c r="G32" s="26">
        <f t="shared" si="3"/>
        <v>7972.6783719033701</v>
      </c>
    </row>
    <row r="33" spans="1:7" ht="15" customHeight="1" x14ac:dyDescent="0.3">
      <c r="A33" s="17">
        <v>31</v>
      </c>
      <c r="B33" s="17">
        <v>2581</v>
      </c>
      <c r="C33" s="30">
        <f t="shared" si="0"/>
        <v>2200.5360468277186</v>
      </c>
      <c r="D33" s="30">
        <f t="shared" si="1"/>
        <v>380.46395317228144</v>
      </c>
      <c r="E33" s="30">
        <f>PERCENTILE(D$4:D33,0.8)</f>
        <v>388.9871508308957</v>
      </c>
      <c r="F33" s="30">
        <f t="shared" si="2"/>
        <v>2589.5231976586142</v>
      </c>
      <c r="G33" s="32">
        <f t="shared" si="3"/>
        <v>8252.381441873109</v>
      </c>
    </row>
    <row r="34" spans="1:7" ht="15" customHeight="1" x14ac:dyDescent="0.3">
      <c r="A34" s="17">
        <v>32</v>
      </c>
      <c r="B34" s="17">
        <v>2063</v>
      </c>
      <c r="C34" s="23">
        <f t="shared" si="0"/>
        <v>2276.6288374621749</v>
      </c>
      <c r="D34" s="23">
        <f t="shared" si="1"/>
        <v>-213.62883746217494</v>
      </c>
      <c r="E34" s="23">
        <f>PERCENTILE(D$4:D34,0.8)</f>
        <v>380.46395317228144</v>
      </c>
      <c r="F34" s="23">
        <f t="shared" si="2"/>
        <v>2657.0927906344564</v>
      </c>
      <c r="G34" s="26">
        <f t="shared" si="3"/>
        <v>6126.3257674924353</v>
      </c>
    </row>
    <row r="35" spans="1:7" ht="15" customHeight="1" x14ac:dyDescent="0.3">
      <c r="A35" s="17">
        <v>33</v>
      </c>
      <c r="B35" s="17">
        <v>1901</v>
      </c>
      <c r="C35" s="30">
        <f t="shared" si="0"/>
        <v>2233.90306996974</v>
      </c>
      <c r="D35" s="30">
        <f t="shared" si="1"/>
        <v>-332.90306996974005</v>
      </c>
      <c r="E35" s="30">
        <f>PERCENTILE(D$4:D35,0.8)</f>
        <v>373.14114790416323</v>
      </c>
      <c r="F35" s="30">
        <f t="shared" si="2"/>
        <v>2607.0442178739031</v>
      </c>
      <c r="G35" s="32">
        <f t="shared" si="3"/>
        <v>5518.3646257008768</v>
      </c>
    </row>
    <row r="36" spans="1:7" ht="15" customHeight="1" x14ac:dyDescent="0.3">
      <c r="A36" s="17">
        <v>34</v>
      </c>
      <c r="B36" s="17">
        <v>1661</v>
      </c>
      <c r="C36" s="23">
        <f t="shared" si="0"/>
        <v>2167.3224559757919</v>
      </c>
      <c r="D36" s="23">
        <f t="shared" si="1"/>
        <v>-506.32245597579185</v>
      </c>
      <c r="E36" s="23">
        <f>PERCENTILE(D$4:D36,0.8)</f>
        <v>365.81834263604503</v>
      </c>
      <c r="F36" s="23">
        <f t="shared" si="2"/>
        <v>2533.140798611837</v>
      </c>
      <c r="G36" s="26">
        <f t="shared" si="3"/>
        <v>4617.4873611105304</v>
      </c>
    </row>
    <row r="37" spans="1:7" ht="15" customHeight="1" x14ac:dyDescent="0.3">
      <c r="A37" s="17">
        <v>35</v>
      </c>
      <c r="B37" s="17">
        <v>1836</v>
      </c>
      <c r="C37" s="30">
        <f t="shared" si="0"/>
        <v>2066.0579647806335</v>
      </c>
      <c r="D37" s="30">
        <f t="shared" si="1"/>
        <v>-230.05796478063348</v>
      </c>
      <c r="E37" s="30">
        <f>PERCENTILE(D$4:D37,0.8)</f>
        <v>358.49553736792683</v>
      </c>
      <c r="F37" s="30">
        <f t="shared" si="2"/>
        <v>2424.5535021485603</v>
      </c>
      <c r="G37" s="32">
        <f t="shared" si="3"/>
        <v>5404.3571982811518</v>
      </c>
    </row>
    <row r="38" spans="1:7" ht="15" customHeight="1" x14ac:dyDescent="0.3">
      <c r="A38" s="17">
        <v>36</v>
      </c>
      <c r="B38" s="17">
        <v>1740</v>
      </c>
      <c r="C38" s="23">
        <f t="shared" si="0"/>
        <v>2020.0463718245069</v>
      </c>
      <c r="D38" s="23">
        <f t="shared" si="1"/>
        <v>-280.04637182450688</v>
      </c>
      <c r="E38" s="23">
        <f>PERCENTILE(D$4:D38,0.8)</f>
        <v>351.17273209980857</v>
      </c>
      <c r="F38" s="23">
        <f t="shared" si="2"/>
        <v>2371.2191039243153</v>
      </c>
      <c r="G38" s="26">
        <f t="shared" si="3"/>
        <v>5063.0247168605474</v>
      </c>
    </row>
    <row r="39" spans="1:7" ht="15" customHeight="1" x14ac:dyDescent="0.3">
      <c r="A39" s="17">
        <v>37</v>
      </c>
      <c r="B39" s="17">
        <v>2119</v>
      </c>
      <c r="C39" s="30">
        <f t="shared" si="0"/>
        <v>1964.0370974596055</v>
      </c>
      <c r="D39" s="30">
        <f t="shared" si="1"/>
        <v>154.96290254039445</v>
      </c>
      <c r="E39" s="30">
        <f>PERCENTILE(D$4:D39,0.8)</f>
        <v>343.84992683169025</v>
      </c>
      <c r="F39" s="30">
        <f t="shared" si="2"/>
        <v>2307.8870242912958</v>
      </c>
      <c r="G39" s="32">
        <f t="shared" si="3"/>
        <v>6629.6903805669635</v>
      </c>
    </row>
    <row r="40" spans="1:7" ht="15" customHeight="1" x14ac:dyDescent="0.3">
      <c r="A40" s="17">
        <v>38</v>
      </c>
      <c r="B40" s="17">
        <v>1770</v>
      </c>
      <c r="C40" s="23">
        <f t="shared" si="0"/>
        <v>1995.0296779676844</v>
      </c>
      <c r="D40" s="23">
        <f t="shared" si="1"/>
        <v>-225.02967796768439</v>
      </c>
      <c r="E40" s="23">
        <f>PERCENTILE(D$4:D40,0.8)</f>
        <v>335.62596848837273</v>
      </c>
      <c r="F40" s="23">
        <f t="shared" si="2"/>
        <v>2330.6556464560572</v>
      </c>
      <c r="G40" s="26">
        <f t="shared" si="3"/>
        <v>5215.4754828351543</v>
      </c>
    </row>
    <row r="41" spans="1:7" ht="15" customHeight="1" x14ac:dyDescent="0.3">
      <c r="A41" s="17">
        <v>39</v>
      </c>
      <c r="B41" s="17">
        <v>2292</v>
      </c>
      <c r="C41" s="30">
        <f t="shared" si="0"/>
        <v>1950.0237423741476</v>
      </c>
      <c r="D41" s="30">
        <f t="shared" si="1"/>
        <v>341.97625762585244</v>
      </c>
      <c r="E41" s="30">
        <f>PERCENTILE(D$4:D41,0.8)</f>
        <v>343.10045914935512</v>
      </c>
      <c r="F41" s="30">
        <f t="shared" si="2"/>
        <v>2293.1242015235025</v>
      </c>
      <c r="G41" s="32">
        <f t="shared" si="3"/>
        <v>7333.5006387811982</v>
      </c>
    </row>
    <row r="42" spans="1:7" ht="15" customHeight="1" x14ac:dyDescent="0.3">
      <c r="A42" s="17">
        <v>40</v>
      </c>
      <c r="B42" s="17">
        <v>1669</v>
      </c>
      <c r="C42" s="23">
        <f t="shared" si="0"/>
        <v>2018.4189938993181</v>
      </c>
      <c r="D42" s="23">
        <f t="shared" si="1"/>
        <v>-349.41899389931814</v>
      </c>
      <c r="E42" s="23">
        <f>PERCENTILE(D$4:D42,0.8)</f>
        <v>342.72572530818758</v>
      </c>
      <c r="F42" s="23">
        <f t="shared" si="2"/>
        <v>2361.1447192075057</v>
      </c>
      <c r="G42" s="26">
        <f t="shared" si="3"/>
        <v>4787.0842246339953</v>
      </c>
    </row>
    <row r="43" spans="1:7" ht="15" customHeight="1" x14ac:dyDescent="0.3">
      <c r="A43" s="17">
        <v>41</v>
      </c>
      <c r="B43" s="17">
        <v>2143</v>
      </c>
      <c r="C43" s="30">
        <f t="shared" si="0"/>
        <v>1948.5351951194546</v>
      </c>
      <c r="D43" s="30">
        <f t="shared" si="1"/>
        <v>194.46480488054544</v>
      </c>
      <c r="E43" s="30">
        <f>PERCENTILE(D$4:D43,0.8)</f>
        <v>342.35099146701998</v>
      </c>
      <c r="F43" s="30">
        <f t="shared" si="2"/>
        <v>2290.8861865864747</v>
      </c>
      <c r="G43" s="32">
        <f t="shared" si="3"/>
        <v>6739.2910507308206</v>
      </c>
    </row>
    <row r="44" spans="1:7" ht="15" customHeight="1" x14ac:dyDescent="0.3">
      <c r="A44" s="17">
        <v>42</v>
      </c>
      <c r="B44" s="17">
        <v>2153</v>
      </c>
      <c r="C44" s="23">
        <f t="shared" si="0"/>
        <v>1987.4281560955637</v>
      </c>
      <c r="D44" s="23">
        <f t="shared" si="1"/>
        <v>165.57184390443626</v>
      </c>
      <c r="E44" s="23">
        <f>PERCENTILE(D$4:D44,0.8)</f>
        <v>341.97625762585244</v>
      </c>
      <c r="F44" s="23">
        <f t="shared" si="2"/>
        <v>2329.4044137214159</v>
      </c>
      <c r="G44" s="26">
        <f t="shared" si="3"/>
        <v>6748.4764690228676</v>
      </c>
    </row>
    <row r="45" spans="1:7" ht="15" customHeight="1" x14ac:dyDescent="0.3">
      <c r="A45" s="17">
        <v>43</v>
      </c>
      <c r="B45" s="17">
        <v>2302</v>
      </c>
      <c r="C45" s="30">
        <f t="shared" si="0"/>
        <v>2020.5425248764509</v>
      </c>
      <c r="D45" s="30">
        <f t="shared" si="1"/>
        <v>281.4574751235491</v>
      </c>
      <c r="E45" s="30">
        <f>PERCENTILE(D$4:D45,0.8)</f>
        <v>334.12703312370263</v>
      </c>
      <c r="F45" s="30">
        <f t="shared" si="2"/>
        <v>2354.6695580001533</v>
      </c>
      <c r="G45" s="32">
        <f t="shared" si="3"/>
        <v>7324.2643535998777</v>
      </c>
    </row>
    <row r="46" spans="1:7" ht="15" customHeight="1" x14ac:dyDescent="0.3">
      <c r="A46" s="17">
        <v>44</v>
      </c>
      <c r="B46" s="17">
        <v>2132</v>
      </c>
      <c r="C46" s="23">
        <f t="shared" si="0"/>
        <v>2076.8340199011609</v>
      </c>
      <c r="D46" s="23">
        <f t="shared" si="1"/>
        <v>55.1659800988391</v>
      </c>
      <c r="E46" s="23">
        <f>PERCENTILE(D$4:D46,0.8)</f>
        <v>326.27780862155254</v>
      </c>
      <c r="F46" s="23">
        <f t="shared" si="2"/>
        <v>2403.1118285227135</v>
      </c>
      <c r="G46" s="26">
        <f t="shared" si="3"/>
        <v>6605.510537181829</v>
      </c>
    </row>
    <row r="47" spans="1:7" ht="15" customHeight="1" x14ac:dyDescent="0.3">
      <c r="A47" s="17">
        <v>45</v>
      </c>
      <c r="B47" s="17">
        <v>2409</v>
      </c>
      <c r="C47" s="30">
        <f t="shared" si="0"/>
        <v>2087.8672159209286</v>
      </c>
      <c r="D47" s="30">
        <f t="shared" si="1"/>
        <v>321.13278407907137</v>
      </c>
      <c r="E47" s="30">
        <f>PERCENTILE(D$4:D47,0.8)</f>
        <v>329.47017349778378</v>
      </c>
      <c r="F47" s="30">
        <f t="shared" si="2"/>
        <v>2417.3373894187125</v>
      </c>
      <c r="G47" s="32">
        <f t="shared" si="3"/>
        <v>7702.13008846503</v>
      </c>
    </row>
    <row r="48" spans="1:7" ht="15" customHeight="1" x14ac:dyDescent="0.3">
      <c r="A48" s="17">
        <v>46</v>
      </c>
      <c r="B48" s="17">
        <v>2192</v>
      </c>
      <c r="C48" s="23">
        <f t="shared" si="0"/>
        <v>2152.0937727367432</v>
      </c>
      <c r="D48" s="23">
        <f t="shared" si="1"/>
        <v>39.906227263256824</v>
      </c>
      <c r="E48" s="23">
        <f>PERCENTILE(D$4:D48,0.8)</f>
        <v>325.30147878842763</v>
      </c>
      <c r="F48" s="23">
        <f t="shared" si="2"/>
        <v>2477.3952515251708</v>
      </c>
      <c r="G48" s="26">
        <f t="shared" si="3"/>
        <v>6786.0837987798632</v>
      </c>
    </row>
    <row r="49" spans="1:7" ht="15" customHeight="1" x14ac:dyDescent="0.3">
      <c r="A49" s="17">
        <v>47</v>
      </c>
      <c r="B49" s="17">
        <v>2508</v>
      </c>
      <c r="C49" s="30">
        <f t="shared" si="0"/>
        <v>2160.0750181893945</v>
      </c>
      <c r="D49" s="30">
        <f t="shared" si="1"/>
        <v>347.92498181060546</v>
      </c>
      <c r="E49" s="30">
        <f>PERCENTILE(D$4:D49,0.8)</f>
        <v>341.97625762585244</v>
      </c>
      <c r="F49" s="30">
        <f t="shared" si="2"/>
        <v>2502.0512758152472</v>
      </c>
      <c r="G49" s="32">
        <f t="shared" si="3"/>
        <v>8006.5640826087911</v>
      </c>
    </row>
    <row r="50" spans="1:7" ht="15" customHeight="1" x14ac:dyDescent="0.3">
      <c r="A50" s="17">
        <v>48</v>
      </c>
      <c r="B50" s="17">
        <v>2120</v>
      </c>
      <c r="C50" s="23">
        <f t="shared" si="0"/>
        <v>2229.6600145515158</v>
      </c>
      <c r="D50" s="23">
        <f t="shared" si="1"/>
        <v>-109.66001455151581</v>
      </c>
      <c r="E50" s="23">
        <f>PERCENTILE(D$4:D50,0.8)</f>
        <v>337.80756291649629</v>
      </c>
      <c r="F50" s="23">
        <f t="shared" si="2"/>
        <v>2567.4675774680122</v>
      </c>
      <c r="G50" s="26">
        <f t="shared" si="3"/>
        <v>6426.0259380255902</v>
      </c>
    </row>
    <row r="51" spans="1:7" ht="15" customHeight="1" x14ac:dyDescent="0.3">
      <c r="A51" s="17">
        <v>49</v>
      </c>
      <c r="B51" s="17">
        <v>1918</v>
      </c>
      <c r="C51" s="30">
        <f t="shared" si="0"/>
        <v>2207.728011641213</v>
      </c>
      <c r="D51" s="30">
        <f t="shared" si="1"/>
        <v>-289.72801164121302</v>
      </c>
      <c r="E51" s="30">
        <f>PERCENTILE(D$4:D51,0.8)</f>
        <v>333.63886820714004</v>
      </c>
      <c r="F51" s="30">
        <f t="shared" si="2"/>
        <v>2541.3668798483532</v>
      </c>
      <c r="G51" s="32">
        <f t="shared" si="3"/>
        <v>5638.9064961213171</v>
      </c>
    </row>
    <row r="52" spans="1:7" ht="15" customHeight="1" x14ac:dyDescent="0.3">
      <c r="A52" s="17">
        <v>50</v>
      </c>
      <c r="B52" s="17">
        <v>1951</v>
      </c>
      <c r="C52" s="23">
        <f t="shared" si="0"/>
        <v>2149.7824093129707</v>
      </c>
      <c r="D52" s="23">
        <f t="shared" si="1"/>
        <v>-198.78240931297069</v>
      </c>
      <c r="E52" s="23">
        <f>PERCENTILE(D$4:D52,0.8)</f>
        <v>329.47017349778389</v>
      </c>
      <c r="F52" s="23">
        <f t="shared" si="2"/>
        <v>2479.2525828107546</v>
      </c>
      <c r="G52" s="26">
        <f t="shared" si="3"/>
        <v>5820.5979337513963</v>
      </c>
    </row>
    <row r="53" spans="1:7" ht="15" customHeight="1" x14ac:dyDescent="0.3">
      <c r="A53" s="17">
        <v>51</v>
      </c>
      <c r="B53" s="17">
        <v>2277</v>
      </c>
      <c r="C53" s="30">
        <f t="shared" si="0"/>
        <v>2110.0259274503769</v>
      </c>
      <c r="D53" s="30">
        <f t="shared" si="1"/>
        <v>166.97407254962309</v>
      </c>
      <c r="E53" s="30">
        <f>PERCENTILE(D$4:D53,0.8)</f>
        <v>325.30147878842763</v>
      </c>
      <c r="F53" s="30">
        <f t="shared" si="2"/>
        <v>2435.3274062388045</v>
      </c>
      <c r="G53" s="32">
        <f t="shared" si="3"/>
        <v>7159.738075008956</v>
      </c>
    </row>
    <row r="54" spans="1:7" ht="15" customHeight="1" x14ac:dyDescent="0.3">
      <c r="A54" s="17">
        <v>52</v>
      </c>
      <c r="B54" s="17">
        <v>2507</v>
      </c>
      <c r="C54" s="23">
        <f t="shared" si="0"/>
        <v>2143.4207419603017</v>
      </c>
      <c r="D54" s="23">
        <f t="shared" si="1"/>
        <v>363.57925803969829</v>
      </c>
      <c r="E54" s="23">
        <f>PERCENTILE(D$4:D54,0.8)</f>
        <v>341.97625762585244</v>
      </c>
      <c r="F54" s="23">
        <f t="shared" si="2"/>
        <v>2485.3969995861544</v>
      </c>
      <c r="G54" s="26">
        <f t="shared" si="3"/>
        <v>7953.2703986756942</v>
      </c>
    </row>
    <row r="55" spans="1:7" ht="15" customHeight="1" x14ac:dyDescent="0.3">
      <c r="A55" s="17">
        <v>53</v>
      </c>
      <c r="B55" s="17">
        <v>2205</v>
      </c>
      <c r="C55" s="30">
        <f t="shared" si="0"/>
        <v>2216.1365935682416</v>
      </c>
      <c r="D55" s="30">
        <f t="shared" si="1"/>
        <v>-11.136593568241551</v>
      </c>
      <c r="E55" s="30">
        <f>PERCENTILE(D$4:D55,0.8)</f>
        <v>337.80756291649629</v>
      </c>
      <c r="F55" s="30">
        <f t="shared" si="2"/>
        <v>2553.944156484738</v>
      </c>
      <c r="G55" s="32">
        <f t="shared" si="3"/>
        <v>6776.8446748122096</v>
      </c>
    </row>
    <row r="56" spans="1:7" ht="15" customHeight="1" x14ac:dyDescent="0.3">
      <c r="A56" s="17">
        <v>54</v>
      </c>
      <c r="B56" s="17">
        <v>1800</v>
      </c>
      <c r="C56" s="23">
        <f t="shared" si="0"/>
        <v>2213.9092748545936</v>
      </c>
      <c r="D56" s="23">
        <f t="shared" si="1"/>
        <v>-413.9092748545936</v>
      </c>
      <c r="E56" s="23">
        <f>PERCENTILE(D$4:D56,0.8)</f>
        <v>333.63886820714004</v>
      </c>
      <c r="F56" s="23">
        <f t="shared" si="2"/>
        <v>2547.5481430617338</v>
      </c>
      <c r="G56" s="26">
        <f t="shared" si="3"/>
        <v>5161.9614855506134</v>
      </c>
    </row>
    <row r="57" spans="1:7" ht="15" customHeight="1" x14ac:dyDescent="0.3">
      <c r="A57" s="17">
        <v>55</v>
      </c>
      <c r="B57" s="17">
        <v>1723</v>
      </c>
      <c r="C57" s="30">
        <f t="shared" si="0"/>
        <v>2131.127419883675</v>
      </c>
      <c r="D57" s="30">
        <f t="shared" si="1"/>
        <v>-408.12741988367497</v>
      </c>
      <c r="E57" s="30">
        <f>PERCENTILE(D$4:D57,0.8)</f>
        <v>329.47017349778389</v>
      </c>
      <c r="F57" s="30">
        <f t="shared" si="2"/>
        <v>2460.5975933814589</v>
      </c>
      <c r="G57" s="32">
        <f t="shared" si="3"/>
        <v>4923.5219252948327</v>
      </c>
    </row>
    <row r="58" spans="1:7" ht="15" customHeight="1" x14ac:dyDescent="0.3">
      <c r="A58" s="17">
        <v>56</v>
      </c>
      <c r="B58" s="17">
        <v>1889</v>
      </c>
      <c r="C58" s="23">
        <f t="shared" si="0"/>
        <v>2049.5019359069402</v>
      </c>
      <c r="D58" s="23">
        <f t="shared" si="1"/>
        <v>-160.50193590694016</v>
      </c>
      <c r="E58" s="23">
        <f>PERCENTILE(D$4:D58,0.8)</f>
        <v>325.30147878842763</v>
      </c>
      <c r="F58" s="23">
        <f t="shared" si="2"/>
        <v>2374.8034146953678</v>
      </c>
      <c r="G58" s="26">
        <f t="shared" si="3"/>
        <v>5656.1572682437054</v>
      </c>
    </row>
    <row r="59" spans="1:7" ht="15" customHeight="1" x14ac:dyDescent="0.3">
      <c r="A59" s="17">
        <v>57</v>
      </c>
      <c r="B59" s="17">
        <v>2103</v>
      </c>
      <c r="C59" s="30">
        <f t="shared" si="0"/>
        <v>2017.4015487255522</v>
      </c>
      <c r="D59" s="30">
        <f t="shared" si="1"/>
        <v>85.598451274447825</v>
      </c>
      <c r="E59" s="30">
        <f>PERCENTILE(D$4:D59,0.8)</f>
        <v>321.13278407907137</v>
      </c>
      <c r="F59" s="30">
        <f t="shared" si="2"/>
        <v>2338.5343328046238</v>
      </c>
      <c r="G59" s="32">
        <f t="shared" si="3"/>
        <v>6541.1725337563012</v>
      </c>
    </row>
    <row r="60" spans="1:7" ht="15" customHeight="1" x14ac:dyDescent="0.3">
      <c r="A60" s="17">
        <v>58</v>
      </c>
      <c r="B60" s="17">
        <v>1869</v>
      </c>
      <c r="C60" s="23">
        <f t="shared" si="0"/>
        <v>2034.5212389804419</v>
      </c>
      <c r="D60" s="23">
        <f t="shared" si="1"/>
        <v>-165.52123898044192</v>
      </c>
      <c r="E60" s="23">
        <f>PERCENTILE(D$4:D60,0.8)</f>
        <v>317.45225428627765</v>
      </c>
      <c r="F60" s="23">
        <f t="shared" si="2"/>
        <v>2351.9734932667197</v>
      </c>
      <c r="G60" s="26">
        <f t="shared" si="3"/>
        <v>5594.421205386624</v>
      </c>
    </row>
    <row r="61" spans="1:7" ht="15" customHeight="1" x14ac:dyDescent="0.3">
      <c r="A61" s="17">
        <v>59</v>
      </c>
      <c r="B61" s="17">
        <v>2485</v>
      </c>
      <c r="C61" s="30">
        <f t="shared" si="0"/>
        <v>2001.4169911843535</v>
      </c>
      <c r="D61" s="30">
        <f t="shared" si="1"/>
        <v>483.58300881564651</v>
      </c>
      <c r="E61" s="30">
        <f>PERCENTILE(D$4:D61,0.8)</f>
        <v>333.63886820714004</v>
      </c>
      <c r="F61" s="30">
        <f t="shared" si="2"/>
        <v>2335.0558593914934</v>
      </c>
      <c r="G61" s="32">
        <f t="shared" si="3"/>
        <v>7472.1787500527789</v>
      </c>
    </row>
    <row r="62" spans="1:7" ht="15" customHeight="1" x14ac:dyDescent="0.3">
      <c r="A62" s="17">
        <v>60</v>
      </c>
      <c r="B62" s="17">
        <v>2162</v>
      </c>
      <c r="C62" s="23">
        <f t="shared" si="0"/>
        <v>2098.1335929474826</v>
      </c>
      <c r="D62" s="23">
        <f t="shared" si="1"/>
        <v>63.866407052517388</v>
      </c>
      <c r="E62" s="23">
        <f>PERCENTILE(D$4:D62,0.8)</f>
        <v>329.47017349778389</v>
      </c>
      <c r="F62" s="23">
        <f t="shared" si="2"/>
        <v>2427.6037664452665</v>
      </c>
      <c r="G62" s="26">
        <f t="shared" si="3"/>
        <v>6705.9169868437866</v>
      </c>
    </row>
    <row r="63" spans="1:7" ht="15" customHeight="1" x14ac:dyDescent="0.3">
      <c r="A63" s="17">
        <v>61</v>
      </c>
      <c r="B63" s="17">
        <v>2418</v>
      </c>
      <c r="C63" s="30">
        <f t="shared" si="0"/>
        <v>2110.906874357986</v>
      </c>
      <c r="D63" s="30">
        <f t="shared" si="1"/>
        <v>307.093125642014</v>
      </c>
      <c r="E63" s="30">
        <f>PERCENTILE(D$4:D63,0.8)</f>
        <v>325.30147878842763</v>
      </c>
      <c r="F63" s="30">
        <f t="shared" si="2"/>
        <v>2436.2083531464136</v>
      </c>
      <c r="G63" s="32">
        <f t="shared" si="3"/>
        <v>7723.0333174828693</v>
      </c>
    </row>
    <row r="64" spans="1:7" ht="15" customHeight="1" x14ac:dyDescent="0.3">
      <c r="A64" s="17">
        <v>62</v>
      </c>
      <c r="B64" s="17">
        <v>1872</v>
      </c>
      <c r="C64" s="23">
        <f t="shared" si="0"/>
        <v>2172.3254994863887</v>
      </c>
      <c r="D64" s="23">
        <f t="shared" si="1"/>
        <v>-300.32549948638871</v>
      </c>
      <c r="E64" s="23">
        <f>PERCENTILE(D$4:D64,0.8)</f>
        <v>321.13278407907137</v>
      </c>
      <c r="F64" s="23">
        <f t="shared" si="2"/>
        <v>2493.4582835654601</v>
      </c>
      <c r="G64" s="26">
        <f t="shared" si="3"/>
        <v>5493.2333731476319</v>
      </c>
    </row>
    <row r="65" spans="1:7" ht="15" customHeight="1" x14ac:dyDescent="0.3">
      <c r="A65" s="17">
        <v>63</v>
      </c>
      <c r="B65" s="17">
        <v>1948</v>
      </c>
      <c r="C65" s="30">
        <f t="shared" si="0"/>
        <v>2112.2603995891109</v>
      </c>
      <c r="D65" s="30">
        <f t="shared" si="1"/>
        <v>-164.26039958911088</v>
      </c>
      <c r="E65" s="30">
        <f>PERCENTILE(D$4:D65,0.8)</f>
        <v>318.32485239165993</v>
      </c>
      <c r="F65" s="30">
        <f t="shared" si="2"/>
        <v>2430.5852519807709</v>
      </c>
      <c r="G65" s="32">
        <f t="shared" si="3"/>
        <v>5847.5317984153835</v>
      </c>
    </row>
    <row r="66" spans="1:7" ht="15" customHeight="1" x14ac:dyDescent="0.3">
      <c r="A66" s="17">
        <v>64</v>
      </c>
      <c r="B66" s="17">
        <v>1816</v>
      </c>
      <c r="C66" s="23">
        <f t="shared" si="0"/>
        <v>2079.4083196712886</v>
      </c>
      <c r="D66" s="23">
        <f t="shared" si="1"/>
        <v>-263.40831967128861</v>
      </c>
      <c r="E66" s="23">
        <f>PERCENTILE(D$4:D66,0.8)</f>
        <v>315.51692070424843</v>
      </c>
      <c r="F66" s="23">
        <f t="shared" si="2"/>
        <v>2394.9252403755372</v>
      </c>
      <c r="G66" s="26">
        <f t="shared" si="3"/>
        <v>5348.0598076995702</v>
      </c>
    </row>
    <row r="67" spans="1:7" ht="15" customHeight="1" x14ac:dyDescent="0.3">
      <c r="A67" s="17">
        <v>65</v>
      </c>
      <c r="B67" s="17">
        <v>2697</v>
      </c>
      <c r="C67" s="30">
        <f t="shared" si="0"/>
        <v>2026.726655737031</v>
      </c>
      <c r="D67" s="30">
        <f t="shared" si="1"/>
        <v>670.27334426296898</v>
      </c>
      <c r="E67" s="30">
        <f>PERCENTILE(D$4:D67,0.8)</f>
        <v>329.47017349778389</v>
      </c>
      <c r="F67" s="30">
        <f t="shared" si="2"/>
        <v>2356.1968292348147</v>
      </c>
      <c r="G67" s="32">
        <f t="shared" si="3"/>
        <v>7539.8298535514068</v>
      </c>
    </row>
    <row r="68" spans="1:7" ht="15" customHeight="1" x14ac:dyDescent="0.3">
      <c r="A68" s="17">
        <v>66</v>
      </c>
      <c r="B68" s="17">
        <v>2629</v>
      </c>
      <c r="C68" s="23">
        <f t="shared" ref="C68:C131" si="4">0.2*B67+0.8*C67</f>
        <v>2160.781324589625</v>
      </c>
      <c r="D68" s="23">
        <f t="shared" ref="D68:D131" si="5">B68-C68</f>
        <v>468.218675410375</v>
      </c>
      <c r="E68" s="23">
        <f>PERCENTILE(D$4:D68,0.8)</f>
        <v>342.35099146701998</v>
      </c>
      <c r="F68" s="23">
        <f t="shared" si="2"/>
        <v>2503.1323160566449</v>
      </c>
      <c r="G68" s="26">
        <f t="shared" si="3"/>
        <v>8010.0234113812639</v>
      </c>
    </row>
    <row r="69" spans="1:7" ht="15" customHeight="1" x14ac:dyDescent="0.3">
      <c r="A69" s="17">
        <v>67</v>
      </c>
      <c r="B69" s="17">
        <v>2733</v>
      </c>
      <c r="C69" s="30">
        <f t="shared" si="4"/>
        <v>2254.4250596717002</v>
      </c>
      <c r="D69" s="30">
        <f t="shared" si="5"/>
        <v>478.57494032829982</v>
      </c>
      <c r="E69" s="30">
        <f>PERCENTILE(D$4:D69,0.8)</f>
        <v>343.84992683169025</v>
      </c>
      <c r="F69" s="30">
        <f t="shared" ref="F69:F132" si="6">C69+E69</f>
        <v>2598.2749865033902</v>
      </c>
      <c r="G69" s="32">
        <f t="shared" ref="G69:G132" si="7">4*MIN(F69,B69)-0.8*F69</f>
        <v>8314.4799568108483</v>
      </c>
    </row>
    <row r="70" spans="1:7" ht="15" customHeight="1" x14ac:dyDescent="0.3">
      <c r="A70" s="17">
        <v>68</v>
      </c>
      <c r="B70" s="17">
        <v>2694</v>
      </c>
      <c r="C70" s="23">
        <f t="shared" si="4"/>
        <v>2350.1400477373604</v>
      </c>
      <c r="D70" s="23">
        <f t="shared" si="5"/>
        <v>343.85995226263958</v>
      </c>
      <c r="E70" s="23">
        <f>PERCENTILE(D$4:D70,0.8)</f>
        <v>343.85794717644973</v>
      </c>
      <c r="F70" s="23">
        <f t="shared" si="6"/>
        <v>2693.9979949138101</v>
      </c>
      <c r="G70" s="26">
        <f t="shared" si="7"/>
        <v>8620.793583724193</v>
      </c>
    </row>
    <row r="71" spans="1:7" ht="15" customHeight="1" x14ac:dyDescent="0.3">
      <c r="A71" s="17">
        <v>69</v>
      </c>
      <c r="B71" s="17">
        <v>1976</v>
      </c>
      <c r="C71" s="30">
        <f t="shared" si="4"/>
        <v>2418.9120381898883</v>
      </c>
      <c r="D71" s="30">
        <f t="shared" si="5"/>
        <v>-442.91203818988834</v>
      </c>
      <c r="E71" s="30">
        <f>PERCENTILE(D$4:D71,0.8)</f>
        <v>343.85594209025987</v>
      </c>
      <c r="F71" s="30">
        <f t="shared" si="6"/>
        <v>2762.7679802801481</v>
      </c>
      <c r="G71" s="32">
        <f t="shared" si="7"/>
        <v>5693.7856157758815</v>
      </c>
    </row>
    <row r="72" spans="1:7" ht="15" customHeight="1" x14ac:dyDescent="0.3">
      <c r="A72" s="17">
        <v>70</v>
      </c>
      <c r="B72" s="17">
        <v>2430</v>
      </c>
      <c r="C72" s="23">
        <f t="shared" si="4"/>
        <v>2330.3296305519107</v>
      </c>
      <c r="D72" s="23">
        <f t="shared" si="5"/>
        <v>99.670369448089332</v>
      </c>
      <c r="E72" s="23">
        <f>PERCENTILE(D$4:D72,0.8)</f>
        <v>343.85393700406996</v>
      </c>
      <c r="F72" s="23">
        <f t="shared" si="6"/>
        <v>2674.1835675559805</v>
      </c>
      <c r="G72" s="26">
        <f t="shared" si="7"/>
        <v>7580.6531459552152</v>
      </c>
    </row>
    <row r="73" spans="1:7" ht="15" customHeight="1" x14ac:dyDescent="0.3">
      <c r="A73" s="17">
        <v>71</v>
      </c>
      <c r="B73" s="17">
        <v>2126</v>
      </c>
      <c r="C73" s="30">
        <f t="shared" si="4"/>
        <v>2350.2637044415287</v>
      </c>
      <c r="D73" s="30">
        <f t="shared" si="5"/>
        <v>-224.26370444152872</v>
      </c>
      <c r="E73" s="30">
        <f>PERCENTILE(D$4:D73,0.8)</f>
        <v>343.85193191788011</v>
      </c>
      <c r="F73" s="30">
        <f t="shared" si="6"/>
        <v>2694.1156363594087</v>
      </c>
      <c r="G73" s="32">
        <f t="shared" si="7"/>
        <v>6348.7074909124731</v>
      </c>
    </row>
    <row r="74" spans="1:7" ht="15" customHeight="1" x14ac:dyDescent="0.3">
      <c r="A74" s="17">
        <v>72</v>
      </c>
      <c r="B74" s="17">
        <v>1926</v>
      </c>
      <c r="C74" s="23">
        <f t="shared" si="4"/>
        <v>2305.4109635532232</v>
      </c>
      <c r="D74" s="23">
        <f t="shared" si="5"/>
        <v>-379.41096355322316</v>
      </c>
      <c r="E74" s="23">
        <f>PERCENTILE(D$4:D74,0.8)</f>
        <v>343.84992683169025</v>
      </c>
      <c r="F74" s="23">
        <f t="shared" si="6"/>
        <v>2649.2608903849132</v>
      </c>
      <c r="G74" s="26">
        <f t="shared" si="7"/>
        <v>5584.5912876920693</v>
      </c>
    </row>
    <row r="75" spans="1:7" ht="15" customHeight="1" x14ac:dyDescent="0.3">
      <c r="A75" s="17">
        <v>73</v>
      </c>
      <c r="B75" s="17">
        <v>1963</v>
      </c>
      <c r="C75" s="30">
        <f t="shared" si="4"/>
        <v>2229.5287708425785</v>
      </c>
      <c r="D75" s="30">
        <f t="shared" si="5"/>
        <v>-266.52877084257852</v>
      </c>
      <c r="E75" s="30">
        <f>PERCENTILE(D$4:D75,0.8)</f>
        <v>343.47519299052271</v>
      </c>
      <c r="F75" s="30">
        <f t="shared" si="6"/>
        <v>2573.0039638331014</v>
      </c>
      <c r="G75" s="32">
        <f t="shared" si="7"/>
        <v>5793.5968289335187</v>
      </c>
    </row>
    <row r="76" spans="1:7" ht="15" customHeight="1" x14ac:dyDescent="0.3">
      <c r="A76" s="17">
        <v>74</v>
      </c>
      <c r="B76" s="17">
        <v>2274</v>
      </c>
      <c r="C76" s="23">
        <f t="shared" si="4"/>
        <v>2176.2230166740628</v>
      </c>
      <c r="D76" s="23">
        <f t="shared" si="5"/>
        <v>97.776983325937181</v>
      </c>
      <c r="E76" s="23">
        <f>PERCENTILE(D$4:D76,0.8)</f>
        <v>343.10045914935512</v>
      </c>
      <c r="F76" s="23">
        <f t="shared" si="6"/>
        <v>2519.323475823418</v>
      </c>
      <c r="G76" s="26">
        <f t="shared" si="7"/>
        <v>7080.5412193412658</v>
      </c>
    </row>
    <row r="77" spans="1:7" ht="15" customHeight="1" x14ac:dyDescent="0.3">
      <c r="A77" s="17">
        <v>75</v>
      </c>
      <c r="B77" s="17">
        <v>1873</v>
      </c>
      <c r="C77" s="30">
        <f t="shared" si="4"/>
        <v>2195.7784133392506</v>
      </c>
      <c r="D77" s="30">
        <f t="shared" si="5"/>
        <v>-322.77841333925062</v>
      </c>
      <c r="E77" s="30">
        <f>PERCENTILE(D$4:D77,0.8)</f>
        <v>342.72572530818758</v>
      </c>
      <c r="F77" s="30">
        <f t="shared" si="6"/>
        <v>2538.5041386474381</v>
      </c>
      <c r="G77" s="32">
        <f t="shared" si="7"/>
        <v>5461.1966890820495</v>
      </c>
    </row>
    <row r="78" spans="1:7" ht="15" customHeight="1" x14ac:dyDescent="0.3">
      <c r="A78" s="17">
        <v>76</v>
      </c>
      <c r="B78" s="17">
        <v>1811</v>
      </c>
      <c r="C78" s="23">
        <f t="shared" si="4"/>
        <v>2131.2227306714008</v>
      </c>
      <c r="D78" s="23">
        <f t="shared" si="5"/>
        <v>-320.22273067140077</v>
      </c>
      <c r="E78" s="23">
        <f>PERCENTILE(D$4:D78,0.8)</f>
        <v>342.35099146701998</v>
      </c>
      <c r="F78" s="23">
        <f t="shared" si="6"/>
        <v>2473.5737221384206</v>
      </c>
      <c r="G78" s="26">
        <f t="shared" si="7"/>
        <v>5265.1410222892637</v>
      </c>
    </row>
    <row r="79" spans="1:7" ht="15" customHeight="1" x14ac:dyDescent="0.3">
      <c r="A79" s="17">
        <v>77</v>
      </c>
      <c r="B79" s="17">
        <v>2180</v>
      </c>
      <c r="C79" s="30">
        <f t="shared" si="4"/>
        <v>2067.1781845371206</v>
      </c>
      <c r="D79" s="30">
        <f t="shared" si="5"/>
        <v>112.82181546287939</v>
      </c>
      <c r="E79" s="30">
        <f>PERCENTILE(D$4:D79,0.8)</f>
        <v>341.97625762585244</v>
      </c>
      <c r="F79" s="30">
        <f t="shared" si="6"/>
        <v>2409.1544421629733</v>
      </c>
      <c r="G79" s="32">
        <f t="shared" si="7"/>
        <v>6792.676446269621</v>
      </c>
    </row>
    <row r="80" spans="1:7" ht="15" customHeight="1" x14ac:dyDescent="0.3">
      <c r="A80" s="17">
        <v>78</v>
      </c>
      <c r="B80" s="17">
        <v>1861</v>
      </c>
      <c r="C80" s="23">
        <f t="shared" si="4"/>
        <v>2089.7425476296967</v>
      </c>
      <c r="D80" s="23">
        <f t="shared" si="5"/>
        <v>-228.74254762969667</v>
      </c>
      <c r="E80" s="23">
        <f>PERCENTILE(D$4:D80,0.8)</f>
        <v>337.80756291649629</v>
      </c>
      <c r="F80" s="23">
        <f t="shared" si="6"/>
        <v>2427.5501105461931</v>
      </c>
      <c r="G80" s="26">
        <f t="shared" si="7"/>
        <v>5501.9599115630454</v>
      </c>
    </row>
    <row r="81" spans="1:7" ht="15" customHeight="1" x14ac:dyDescent="0.3">
      <c r="A81" s="17">
        <v>79</v>
      </c>
      <c r="B81" s="17">
        <v>2436</v>
      </c>
      <c r="C81" s="30">
        <f t="shared" si="4"/>
        <v>2043.9940381037575</v>
      </c>
      <c r="D81" s="30">
        <f t="shared" si="5"/>
        <v>392.00596189624252</v>
      </c>
      <c r="E81" s="30">
        <f>PERCENTILE(D$4:D81,0.8)</f>
        <v>343.10045914935512</v>
      </c>
      <c r="F81" s="30">
        <f t="shared" si="6"/>
        <v>2387.0944972531124</v>
      </c>
      <c r="G81" s="32">
        <f t="shared" si="7"/>
        <v>7638.7023912099594</v>
      </c>
    </row>
    <row r="82" spans="1:7" ht="15" customHeight="1" x14ac:dyDescent="0.3">
      <c r="A82" s="17">
        <v>80</v>
      </c>
      <c r="B82" s="17">
        <v>1902</v>
      </c>
      <c r="C82" s="23">
        <f t="shared" si="4"/>
        <v>2122.3952304830063</v>
      </c>
      <c r="D82" s="23">
        <f t="shared" si="5"/>
        <v>-220.39523048300634</v>
      </c>
      <c r="E82" s="23">
        <f>PERCENTILE(D$4:D82,0.8)</f>
        <v>342.72572530818758</v>
      </c>
      <c r="F82" s="23">
        <f t="shared" si="6"/>
        <v>2465.1209557911939</v>
      </c>
      <c r="G82" s="26">
        <f t="shared" si="7"/>
        <v>5635.9032353670445</v>
      </c>
    </row>
    <row r="83" spans="1:7" ht="15" customHeight="1" x14ac:dyDescent="0.3">
      <c r="A83" s="17">
        <v>81</v>
      </c>
      <c r="B83" s="17">
        <v>1838</v>
      </c>
      <c r="C83" s="30">
        <f t="shared" si="4"/>
        <v>2078.316184386405</v>
      </c>
      <c r="D83" s="30">
        <f t="shared" si="5"/>
        <v>-240.31618438640498</v>
      </c>
      <c r="E83" s="30">
        <f>PERCENTILE(D$4:D83,0.8)</f>
        <v>342.35099146701998</v>
      </c>
      <c r="F83" s="30">
        <f t="shared" si="6"/>
        <v>2420.6671758534249</v>
      </c>
      <c r="G83" s="32">
        <f t="shared" si="7"/>
        <v>5415.4662593172598</v>
      </c>
    </row>
    <row r="84" spans="1:7" ht="15" customHeight="1" x14ac:dyDescent="0.3">
      <c r="A84" s="17">
        <v>82</v>
      </c>
      <c r="B84" s="17">
        <v>2422</v>
      </c>
      <c r="C84" s="23">
        <f t="shared" si="4"/>
        <v>2030.2529475091242</v>
      </c>
      <c r="D84" s="23">
        <f t="shared" si="5"/>
        <v>391.74705249087583</v>
      </c>
      <c r="E84" s="23">
        <f>PERCENTILE(D$4:D84,0.8)</f>
        <v>343.84992683169025</v>
      </c>
      <c r="F84" s="23">
        <f t="shared" si="6"/>
        <v>2374.1028743408142</v>
      </c>
      <c r="G84" s="26">
        <f t="shared" si="7"/>
        <v>7597.1291978906056</v>
      </c>
    </row>
    <row r="85" spans="1:7" ht="15" customHeight="1" x14ac:dyDescent="0.3">
      <c r="A85" s="17">
        <v>83</v>
      </c>
      <c r="B85" s="17">
        <v>2361</v>
      </c>
      <c r="C85" s="30">
        <f t="shared" si="4"/>
        <v>2108.6023580072992</v>
      </c>
      <c r="D85" s="30">
        <f t="shared" si="5"/>
        <v>252.39764199270076</v>
      </c>
      <c r="E85" s="30">
        <f>PERCENTILE(D$4:D85,0.8)</f>
        <v>343.47519299052271</v>
      </c>
      <c r="F85" s="30">
        <f t="shared" si="6"/>
        <v>2452.0775509978221</v>
      </c>
      <c r="G85" s="32">
        <f t="shared" si="7"/>
        <v>7482.3379592017427</v>
      </c>
    </row>
    <row r="86" spans="1:7" ht="15" customHeight="1" x14ac:dyDescent="0.3">
      <c r="A86" s="17">
        <v>84</v>
      </c>
      <c r="B86" s="17">
        <v>2083</v>
      </c>
      <c r="C86" s="23">
        <f t="shared" si="4"/>
        <v>2159.0818864058392</v>
      </c>
      <c r="D86" s="23">
        <f t="shared" si="5"/>
        <v>-76.081886405839214</v>
      </c>
      <c r="E86" s="23">
        <f>PERCENTILE(D$4:D86,0.8)</f>
        <v>343.10045914935512</v>
      </c>
      <c r="F86" s="23">
        <f t="shared" si="6"/>
        <v>2502.1823455551944</v>
      </c>
      <c r="G86" s="26">
        <f t="shared" si="7"/>
        <v>6330.2541235558447</v>
      </c>
    </row>
    <row r="87" spans="1:7" ht="15" customHeight="1" x14ac:dyDescent="0.3">
      <c r="A87" s="17">
        <v>85</v>
      </c>
      <c r="B87" s="17">
        <v>2663</v>
      </c>
      <c r="C87" s="30">
        <f t="shared" si="4"/>
        <v>2143.8655091246715</v>
      </c>
      <c r="D87" s="30">
        <f t="shared" si="5"/>
        <v>519.13449087532854</v>
      </c>
      <c r="E87" s="30">
        <f>PERCENTILE(D$4:D87,0.8)</f>
        <v>343.85393700406996</v>
      </c>
      <c r="F87" s="30">
        <f t="shared" si="6"/>
        <v>2487.7194461287413</v>
      </c>
      <c r="G87" s="32">
        <f t="shared" si="7"/>
        <v>7960.7022276119724</v>
      </c>
    </row>
    <row r="88" spans="1:7" ht="15" customHeight="1" x14ac:dyDescent="0.3">
      <c r="A88" s="17">
        <v>86</v>
      </c>
      <c r="B88" s="17">
        <v>2133</v>
      </c>
      <c r="C88" s="23">
        <f t="shared" si="4"/>
        <v>2247.6924072997372</v>
      </c>
      <c r="D88" s="23">
        <f t="shared" si="5"/>
        <v>-114.69240729973717</v>
      </c>
      <c r="E88" s="23">
        <f>PERCENTILE(D$4:D88,0.8)</f>
        <v>343.85193191788011</v>
      </c>
      <c r="F88" s="23">
        <f t="shared" si="6"/>
        <v>2591.5443392176171</v>
      </c>
      <c r="G88" s="26">
        <f t="shared" si="7"/>
        <v>6458.7645286259067</v>
      </c>
    </row>
    <row r="89" spans="1:7" ht="15" customHeight="1" x14ac:dyDescent="0.3">
      <c r="A89" s="17">
        <v>87</v>
      </c>
      <c r="B89" s="17">
        <v>2260</v>
      </c>
      <c r="C89" s="30">
        <f t="shared" si="4"/>
        <v>2224.7539258397896</v>
      </c>
      <c r="D89" s="30">
        <f t="shared" si="5"/>
        <v>35.246074160210355</v>
      </c>
      <c r="E89" s="30">
        <f>PERCENTILE(D$4:D89,0.8)</f>
        <v>343.84992683169025</v>
      </c>
      <c r="F89" s="30">
        <f t="shared" si="6"/>
        <v>2568.6038526714801</v>
      </c>
      <c r="G89" s="32">
        <f t="shared" si="7"/>
        <v>6985.1169178628152</v>
      </c>
    </row>
    <row r="90" spans="1:7" ht="15" customHeight="1" x14ac:dyDescent="0.3">
      <c r="A90" s="17">
        <v>88</v>
      </c>
      <c r="B90" s="17">
        <v>2271</v>
      </c>
      <c r="C90" s="23">
        <f t="shared" si="4"/>
        <v>2231.8031406718319</v>
      </c>
      <c r="D90" s="23">
        <f t="shared" si="5"/>
        <v>39.196859328168102</v>
      </c>
      <c r="E90" s="23">
        <f>PERCENTILE(D$4:D90,0.8)</f>
        <v>343.47519299052271</v>
      </c>
      <c r="F90" s="23">
        <f t="shared" si="6"/>
        <v>2575.2783336623547</v>
      </c>
      <c r="G90" s="26">
        <f t="shared" si="7"/>
        <v>7023.7773330701166</v>
      </c>
    </row>
    <row r="91" spans="1:7" ht="15" customHeight="1" x14ac:dyDescent="0.3">
      <c r="A91" s="17">
        <v>89</v>
      </c>
      <c r="B91" s="17">
        <v>2330</v>
      </c>
      <c r="C91" s="30">
        <f t="shared" si="4"/>
        <v>2239.6425125374653</v>
      </c>
      <c r="D91" s="30">
        <f t="shared" si="5"/>
        <v>90.357487462534664</v>
      </c>
      <c r="E91" s="30">
        <f>PERCENTILE(D$4:D91,0.8)</f>
        <v>343.10045914935512</v>
      </c>
      <c r="F91" s="30">
        <f t="shared" si="6"/>
        <v>2582.7429716868205</v>
      </c>
      <c r="G91" s="32">
        <f t="shared" si="7"/>
        <v>7253.8056226505432</v>
      </c>
    </row>
    <row r="92" spans="1:7" ht="15" customHeight="1" x14ac:dyDescent="0.3">
      <c r="A92" s="17">
        <v>90</v>
      </c>
      <c r="B92" s="17">
        <v>2648</v>
      </c>
      <c r="C92" s="23">
        <f t="shared" si="4"/>
        <v>2257.7140100299721</v>
      </c>
      <c r="D92" s="23">
        <f t="shared" si="5"/>
        <v>390.28598997002791</v>
      </c>
      <c r="E92" s="23">
        <f>PERCENTILE(D$4:D92,0.8)</f>
        <v>343.85393700406996</v>
      </c>
      <c r="F92" s="23">
        <f t="shared" si="6"/>
        <v>2601.5679470340419</v>
      </c>
      <c r="G92" s="26">
        <f t="shared" si="7"/>
        <v>8325.0174305089349</v>
      </c>
    </row>
    <row r="93" spans="1:7" ht="15" customHeight="1" x14ac:dyDescent="0.3">
      <c r="A93" s="17">
        <v>91</v>
      </c>
      <c r="B93" s="17">
        <v>2188</v>
      </c>
      <c r="C93" s="30">
        <f t="shared" si="4"/>
        <v>2335.7712080239776</v>
      </c>
      <c r="D93" s="30">
        <f t="shared" si="5"/>
        <v>-147.77120802397758</v>
      </c>
      <c r="E93" s="30">
        <f>PERCENTILE(D$4:D93,0.8)</f>
        <v>343.85193191788011</v>
      </c>
      <c r="F93" s="30">
        <f t="shared" si="6"/>
        <v>2679.6231399418575</v>
      </c>
      <c r="G93" s="32">
        <f t="shared" si="7"/>
        <v>6608.3014880465144</v>
      </c>
    </row>
    <row r="94" spans="1:7" ht="15" customHeight="1" x14ac:dyDescent="0.3">
      <c r="A94" s="17">
        <v>92</v>
      </c>
      <c r="B94" s="17">
        <v>2382</v>
      </c>
      <c r="C94" s="23">
        <f t="shared" si="4"/>
        <v>2306.216966419182</v>
      </c>
      <c r="D94" s="23">
        <f t="shared" si="5"/>
        <v>75.783033580818028</v>
      </c>
      <c r="E94" s="23">
        <f>PERCENTILE(D$4:D94,0.8)</f>
        <v>343.84992683169025</v>
      </c>
      <c r="F94" s="23">
        <f t="shared" si="6"/>
        <v>2650.0668932508725</v>
      </c>
      <c r="G94" s="26">
        <f t="shared" si="7"/>
        <v>7407.9464853993013</v>
      </c>
    </row>
    <row r="95" spans="1:7" ht="15" customHeight="1" x14ac:dyDescent="0.3">
      <c r="A95" s="17">
        <v>93</v>
      </c>
      <c r="B95" s="17">
        <v>2522</v>
      </c>
      <c r="C95" s="30">
        <f t="shared" si="4"/>
        <v>2321.3735731353459</v>
      </c>
      <c r="D95" s="30">
        <f t="shared" si="5"/>
        <v>200.62642686465415</v>
      </c>
      <c r="E95" s="30">
        <f>PERCENTILE(D$4:D95,0.8)</f>
        <v>343.47519299052271</v>
      </c>
      <c r="F95" s="30">
        <f t="shared" si="6"/>
        <v>2664.8487661258687</v>
      </c>
      <c r="G95" s="32">
        <f t="shared" si="7"/>
        <v>7956.1209870993043</v>
      </c>
    </row>
    <row r="96" spans="1:7" ht="15" customHeight="1" x14ac:dyDescent="0.3">
      <c r="A96" s="17">
        <v>94</v>
      </c>
      <c r="B96" s="17">
        <v>2402</v>
      </c>
      <c r="C96" s="23">
        <f t="shared" si="4"/>
        <v>2361.498858508277</v>
      </c>
      <c r="D96" s="23">
        <f t="shared" si="5"/>
        <v>40.501141491723047</v>
      </c>
      <c r="E96" s="23">
        <f>PERCENTILE(D$4:D96,0.8)</f>
        <v>343.10045914935512</v>
      </c>
      <c r="F96" s="23">
        <f t="shared" si="6"/>
        <v>2704.5993176576321</v>
      </c>
      <c r="G96" s="26">
        <f t="shared" si="7"/>
        <v>7444.3205458738939</v>
      </c>
    </row>
    <row r="97" spans="1:7" ht="15" customHeight="1" x14ac:dyDescent="0.3">
      <c r="A97" s="17">
        <v>95</v>
      </c>
      <c r="B97" s="17">
        <v>2480</v>
      </c>
      <c r="C97" s="30">
        <f t="shared" si="4"/>
        <v>2369.5990868066215</v>
      </c>
      <c r="D97" s="30">
        <f t="shared" si="5"/>
        <v>110.40091319337853</v>
      </c>
      <c r="E97" s="30">
        <f>PERCENTILE(D$4:D97,0.8)</f>
        <v>342.72572530818758</v>
      </c>
      <c r="F97" s="30">
        <f t="shared" si="6"/>
        <v>2712.324812114809</v>
      </c>
      <c r="G97" s="32">
        <f t="shared" si="7"/>
        <v>7750.1401503081524</v>
      </c>
    </row>
    <row r="98" spans="1:7" ht="15" customHeight="1" x14ac:dyDescent="0.3">
      <c r="A98" s="17">
        <v>96</v>
      </c>
      <c r="B98" s="17">
        <v>2773</v>
      </c>
      <c r="C98" s="23">
        <f t="shared" si="4"/>
        <v>2391.679269445297</v>
      </c>
      <c r="D98" s="23">
        <f t="shared" si="5"/>
        <v>381.320730554703</v>
      </c>
      <c r="E98" s="23">
        <f>PERCENTILE(D$4:D98,0.8)</f>
        <v>343.85193191788011</v>
      </c>
      <c r="F98" s="23">
        <f t="shared" si="6"/>
        <v>2735.5312013631769</v>
      </c>
      <c r="G98" s="26">
        <f t="shared" si="7"/>
        <v>8753.6998443621669</v>
      </c>
    </row>
    <row r="99" spans="1:7" ht="15" customHeight="1" x14ac:dyDescent="0.3">
      <c r="A99" s="17">
        <v>97</v>
      </c>
      <c r="B99" s="17">
        <v>2792</v>
      </c>
      <c r="C99" s="30">
        <f t="shared" si="4"/>
        <v>2467.9434155562376</v>
      </c>
      <c r="D99" s="30">
        <f t="shared" si="5"/>
        <v>324.0565844437624</v>
      </c>
      <c r="E99" s="30">
        <f>PERCENTILE(D$4:D99,0.8)</f>
        <v>343.84992683169025</v>
      </c>
      <c r="F99" s="30">
        <f t="shared" si="6"/>
        <v>2811.7933423879276</v>
      </c>
      <c r="G99" s="32">
        <f t="shared" si="7"/>
        <v>8918.5653260896579</v>
      </c>
    </row>
    <row r="100" spans="1:7" ht="15" customHeight="1" x14ac:dyDescent="0.3">
      <c r="A100" s="17">
        <v>98</v>
      </c>
      <c r="B100" s="17">
        <v>2322</v>
      </c>
      <c r="C100" s="23">
        <f t="shared" si="4"/>
        <v>2532.7547324449902</v>
      </c>
      <c r="D100" s="23">
        <f t="shared" si="5"/>
        <v>-210.75473244499017</v>
      </c>
      <c r="E100" s="23">
        <f>PERCENTILE(D$4:D100,0.8)</f>
        <v>343.47519299052271</v>
      </c>
      <c r="F100" s="23">
        <f t="shared" si="6"/>
        <v>2876.229925435513</v>
      </c>
      <c r="G100" s="26">
        <f t="shared" si="7"/>
        <v>6987.0160596515889</v>
      </c>
    </row>
    <row r="101" spans="1:7" ht="15" customHeight="1" x14ac:dyDescent="0.3">
      <c r="A101" s="17">
        <v>99</v>
      </c>
      <c r="B101" s="17">
        <v>2197</v>
      </c>
      <c r="C101" s="30">
        <f t="shared" si="4"/>
        <v>2490.6037859559924</v>
      </c>
      <c r="D101" s="30">
        <f t="shared" si="5"/>
        <v>-293.60378595599241</v>
      </c>
      <c r="E101" s="30">
        <f>PERCENTILE(D$4:D101,0.8)</f>
        <v>343.10045914935512</v>
      </c>
      <c r="F101" s="30">
        <f t="shared" si="6"/>
        <v>2833.7042451053476</v>
      </c>
      <c r="G101" s="32">
        <f t="shared" si="7"/>
        <v>6521.0366039157216</v>
      </c>
    </row>
    <row r="102" spans="1:7" ht="15" customHeight="1" x14ac:dyDescent="0.3">
      <c r="A102" s="17">
        <v>100</v>
      </c>
      <c r="B102" s="17">
        <v>1928</v>
      </c>
      <c r="C102" s="23">
        <f t="shared" si="4"/>
        <v>2431.8830287647938</v>
      </c>
      <c r="D102" s="23">
        <f t="shared" si="5"/>
        <v>-503.88302876479383</v>
      </c>
      <c r="E102" s="23">
        <f>PERCENTILE(D$4:D102,0.8)</f>
        <v>342.72572530818758</v>
      </c>
      <c r="F102" s="23">
        <f t="shared" si="6"/>
        <v>2774.6087540729814</v>
      </c>
      <c r="G102" s="26">
        <f t="shared" si="7"/>
        <v>5492.3129967416153</v>
      </c>
    </row>
    <row r="103" spans="1:7" ht="15" customHeight="1" x14ac:dyDescent="0.3">
      <c r="A103" s="17">
        <v>101</v>
      </c>
      <c r="B103" s="17">
        <v>2093</v>
      </c>
      <c r="C103" s="30">
        <f t="shared" si="4"/>
        <v>2331.106423011835</v>
      </c>
      <c r="D103" s="30">
        <f t="shared" si="5"/>
        <v>-238.10642301183498</v>
      </c>
      <c r="E103" s="30">
        <f>PERCENTILE(D$4:D103,0.8)</f>
        <v>342.35099146701998</v>
      </c>
      <c r="F103" s="30">
        <f t="shared" si="6"/>
        <v>2673.4574144788548</v>
      </c>
      <c r="G103" s="32">
        <f t="shared" si="7"/>
        <v>6233.2340684169158</v>
      </c>
    </row>
    <row r="104" spans="1:7" ht="15" customHeight="1" x14ac:dyDescent="0.3">
      <c r="A104" s="17">
        <v>102</v>
      </c>
      <c r="B104" s="17">
        <v>1945</v>
      </c>
      <c r="C104" s="23">
        <f t="shared" si="4"/>
        <v>2283.4851384094682</v>
      </c>
      <c r="D104" s="23">
        <f t="shared" si="5"/>
        <v>-338.48513840946816</v>
      </c>
      <c r="E104" s="23">
        <f>PERCENTILE(D$4:D104,0.8)</f>
        <v>341.97625762585244</v>
      </c>
      <c r="F104" s="23">
        <f t="shared" si="6"/>
        <v>2625.4613960353208</v>
      </c>
      <c r="G104" s="26">
        <f t="shared" si="7"/>
        <v>5679.6308831717433</v>
      </c>
    </row>
    <row r="105" spans="1:7" ht="15" customHeight="1" x14ac:dyDescent="0.3">
      <c r="A105" s="17">
        <v>103</v>
      </c>
      <c r="B105" s="17">
        <v>2798</v>
      </c>
      <c r="C105" s="30">
        <f t="shared" si="4"/>
        <v>2215.7881107275743</v>
      </c>
      <c r="D105" s="30">
        <f t="shared" si="5"/>
        <v>582.21188927242565</v>
      </c>
      <c r="E105" s="30">
        <f>PERCENTILE(D$4:D105,0.8)</f>
        <v>343.47519299052271</v>
      </c>
      <c r="F105" s="30">
        <f t="shared" si="6"/>
        <v>2559.2633037180972</v>
      </c>
      <c r="G105" s="32">
        <f t="shared" si="7"/>
        <v>8189.6425718979108</v>
      </c>
    </row>
    <row r="106" spans="1:7" ht="15" customHeight="1" x14ac:dyDescent="0.3">
      <c r="A106" s="17">
        <v>104</v>
      </c>
      <c r="B106" s="17">
        <v>2575</v>
      </c>
      <c r="C106" s="23">
        <f t="shared" si="4"/>
        <v>2332.2304885820595</v>
      </c>
      <c r="D106" s="23">
        <f t="shared" si="5"/>
        <v>242.76951141794052</v>
      </c>
      <c r="E106" s="23">
        <f>PERCENTILE(D$4:D106,0.8)</f>
        <v>343.10045914935512</v>
      </c>
      <c r="F106" s="23">
        <f t="shared" si="6"/>
        <v>2675.3309477314147</v>
      </c>
      <c r="G106" s="26">
        <f t="shared" si="7"/>
        <v>8159.7352418148675</v>
      </c>
    </row>
    <row r="107" spans="1:7" ht="15" customHeight="1" x14ac:dyDescent="0.3">
      <c r="A107" s="17">
        <v>105</v>
      </c>
      <c r="B107" s="17">
        <v>2199</v>
      </c>
      <c r="C107" s="30">
        <f t="shared" si="4"/>
        <v>2380.7843908656478</v>
      </c>
      <c r="D107" s="30">
        <f t="shared" si="5"/>
        <v>-181.78439086564777</v>
      </c>
      <c r="E107" s="30">
        <f>PERCENTILE(D$4:D107,0.8)</f>
        <v>342.72572530818758</v>
      </c>
      <c r="F107" s="30">
        <f t="shared" si="6"/>
        <v>2723.5101161738353</v>
      </c>
      <c r="G107" s="32">
        <f t="shared" si="7"/>
        <v>6617.191907060931</v>
      </c>
    </row>
    <row r="108" spans="1:7" ht="15" customHeight="1" x14ac:dyDescent="0.3">
      <c r="A108" s="17">
        <v>106</v>
      </c>
      <c r="B108" s="17">
        <v>2390</v>
      </c>
      <c r="C108" s="23">
        <f t="shared" si="4"/>
        <v>2344.4275126925186</v>
      </c>
      <c r="D108" s="23">
        <f t="shared" si="5"/>
        <v>45.572487307481424</v>
      </c>
      <c r="E108" s="23">
        <f>PERCENTILE(D$4:D108,0.8)</f>
        <v>342.35099146701998</v>
      </c>
      <c r="F108" s="23">
        <f t="shared" si="6"/>
        <v>2686.7785041595384</v>
      </c>
      <c r="G108" s="26">
        <f t="shared" si="7"/>
        <v>7410.5771966723696</v>
      </c>
    </row>
    <row r="109" spans="1:7" ht="15" customHeight="1" x14ac:dyDescent="0.3">
      <c r="A109" s="17">
        <v>107</v>
      </c>
      <c r="B109" s="17">
        <v>2324</v>
      </c>
      <c r="C109" s="30">
        <f t="shared" si="4"/>
        <v>2353.5420101540149</v>
      </c>
      <c r="D109" s="30">
        <f t="shared" si="5"/>
        <v>-29.542010154014861</v>
      </c>
      <c r="E109" s="30">
        <f>PERCENTILE(D$4:D109,0.8)</f>
        <v>341.97625762585244</v>
      </c>
      <c r="F109" s="30">
        <f t="shared" si="6"/>
        <v>2695.5182677798675</v>
      </c>
      <c r="G109" s="32">
        <f t="shared" si="7"/>
        <v>7139.5853857761058</v>
      </c>
    </row>
    <row r="110" spans="1:7" ht="15" customHeight="1" x14ac:dyDescent="0.3">
      <c r="A110" s="17">
        <v>108</v>
      </c>
      <c r="B110" s="17">
        <v>2669</v>
      </c>
      <c r="C110" s="23">
        <f t="shared" si="4"/>
        <v>2347.6336081232121</v>
      </c>
      <c r="D110" s="23">
        <f t="shared" si="5"/>
        <v>321.36639187678793</v>
      </c>
      <c r="E110" s="23">
        <f>PERCENTILE(D$4:D110,0.8)</f>
        <v>338.39232298943466</v>
      </c>
      <c r="F110" s="23">
        <f t="shared" si="6"/>
        <v>2686.0259311126465</v>
      </c>
      <c r="G110" s="26">
        <f t="shared" si="7"/>
        <v>8527.1792551098824</v>
      </c>
    </row>
    <row r="111" spans="1:7" ht="15" customHeight="1" x14ac:dyDescent="0.3">
      <c r="A111" s="17">
        <v>109</v>
      </c>
      <c r="B111" s="17">
        <v>2492</v>
      </c>
      <c r="C111" s="30">
        <f t="shared" si="4"/>
        <v>2411.9068864985697</v>
      </c>
      <c r="D111" s="30">
        <f t="shared" si="5"/>
        <v>80.093113501430253</v>
      </c>
      <c r="E111" s="30">
        <f>PERCENTILE(D$4:D111,0.8)</f>
        <v>334.8083883530166</v>
      </c>
      <c r="F111" s="30">
        <f t="shared" si="6"/>
        <v>2746.7152748515864</v>
      </c>
      <c r="G111" s="32">
        <f t="shared" si="7"/>
        <v>7770.6277801187307</v>
      </c>
    </row>
    <row r="112" spans="1:7" ht="15" customHeight="1" x14ac:dyDescent="0.3">
      <c r="A112" s="17">
        <v>110</v>
      </c>
      <c r="B112" s="17">
        <v>2751</v>
      </c>
      <c r="C112" s="23">
        <f t="shared" si="4"/>
        <v>2427.9255091988557</v>
      </c>
      <c r="D112" s="23">
        <f t="shared" si="5"/>
        <v>323.07449080114429</v>
      </c>
      <c r="E112" s="23">
        <f>PERCENTILE(D$4:D112,0.8)</f>
        <v>331.22445371659853</v>
      </c>
      <c r="F112" s="23">
        <f t="shared" si="6"/>
        <v>2759.1499629154541</v>
      </c>
      <c r="G112" s="26">
        <f t="shared" si="7"/>
        <v>8796.6800296676374</v>
      </c>
    </row>
    <row r="113" spans="1:7" ht="15" customHeight="1" x14ac:dyDescent="0.3">
      <c r="A113" s="17">
        <v>111</v>
      </c>
      <c r="B113" s="17">
        <v>2844</v>
      </c>
      <c r="C113" s="30">
        <f t="shared" si="4"/>
        <v>2492.5404073590844</v>
      </c>
      <c r="D113" s="30">
        <f t="shared" si="5"/>
        <v>351.45959264091562</v>
      </c>
      <c r="E113" s="30">
        <f>PERCENTILE(D$4:D113,0.8)</f>
        <v>342.35099146701998</v>
      </c>
      <c r="F113" s="30">
        <f t="shared" si="6"/>
        <v>2834.8913988261043</v>
      </c>
      <c r="G113" s="32">
        <f t="shared" si="7"/>
        <v>9071.6524762435329</v>
      </c>
    </row>
    <row r="114" spans="1:7" ht="15" customHeight="1" x14ac:dyDescent="0.3">
      <c r="A114" s="17">
        <v>112</v>
      </c>
      <c r="B114" s="17">
        <v>2717</v>
      </c>
      <c r="C114" s="23">
        <f t="shared" si="4"/>
        <v>2562.8323258872679</v>
      </c>
      <c r="D114" s="23">
        <f t="shared" si="5"/>
        <v>154.16767411273213</v>
      </c>
      <c r="E114" s="23">
        <f>PERCENTILE(D$4:D114,0.8)</f>
        <v>341.97625762585244</v>
      </c>
      <c r="F114" s="23">
        <f t="shared" si="6"/>
        <v>2904.8085835131205</v>
      </c>
      <c r="G114" s="26">
        <f t="shared" si="7"/>
        <v>8544.1531331895039</v>
      </c>
    </row>
    <row r="115" spans="1:7" ht="15" customHeight="1" x14ac:dyDescent="0.3">
      <c r="A115" s="17">
        <v>113</v>
      </c>
      <c r="B115" s="17">
        <v>2869</v>
      </c>
      <c r="C115" s="30">
        <f t="shared" si="4"/>
        <v>2593.6658607098143</v>
      </c>
      <c r="D115" s="30">
        <f t="shared" si="5"/>
        <v>275.3341392901857</v>
      </c>
      <c r="E115" s="30">
        <f>PERCENTILE(D$4:D115,0.8)</f>
        <v>338.39232298943466</v>
      </c>
      <c r="F115" s="30">
        <f t="shared" si="6"/>
        <v>2932.0581836992487</v>
      </c>
      <c r="G115" s="32">
        <f t="shared" si="7"/>
        <v>9130.3534530406014</v>
      </c>
    </row>
    <row r="116" spans="1:7" ht="15" customHeight="1" x14ac:dyDescent="0.3">
      <c r="A116" s="17">
        <v>114</v>
      </c>
      <c r="B116" s="17">
        <v>2284</v>
      </c>
      <c r="C116" s="23">
        <f t="shared" si="4"/>
        <v>2648.7326885678517</v>
      </c>
      <c r="D116" s="23">
        <f t="shared" si="5"/>
        <v>-364.73268856785171</v>
      </c>
      <c r="E116" s="23">
        <f>PERCENTILE(D$4:D116,0.8)</f>
        <v>334.8083883530166</v>
      </c>
      <c r="F116" s="23">
        <f t="shared" si="6"/>
        <v>2983.5410769208684</v>
      </c>
      <c r="G116" s="26">
        <f t="shared" si="7"/>
        <v>6749.1671384633046</v>
      </c>
    </row>
    <row r="117" spans="1:7" ht="15" customHeight="1" x14ac:dyDescent="0.3">
      <c r="A117" s="17">
        <v>115</v>
      </c>
      <c r="B117" s="17">
        <v>2496</v>
      </c>
      <c r="C117" s="30">
        <f t="shared" si="4"/>
        <v>2575.7861508542815</v>
      </c>
      <c r="D117" s="30">
        <f t="shared" si="5"/>
        <v>-79.786150854281459</v>
      </c>
      <c r="E117" s="30">
        <f>PERCENTILE(D$4:D117,0.8)</f>
        <v>331.22445371659853</v>
      </c>
      <c r="F117" s="30">
        <f t="shared" si="6"/>
        <v>2907.0106045708799</v>
      </c>
      <c r="G117" s="32">
        <f t="shared" si="7"/>
        <v>7658.3915163432957</v>
      </c>
    </row>
    <row r="118" spans="1:7" ht="15" customHeight="1" x14ac:dyDescent="0.3">
      <c r="A118" s="17">
        <v>116</v>
      </c>
      <c r="B118" s="17">
        <v>2345</v>
      </c>
      <c r="C118" s="23">
        <f t="shared" si="4"/>
        <v>2559.8289206834252</v>
      </c>
      <c r="D118" s="23">
        <f t="shared" si="5"/>
        <v>-214.82892068342517</v>
      </c>
      <c r="E118" s="23">
        <f>PERCENTILE(D$4:D118,0.8)</f>
        <v>327.64051908018047</v>
      </c>
      <c r="F118" s="23">
        <f t="shared" si="6"/>
        <v>2887.4694397636058</v>
      </c>
      <c r="G118" s="26">
        <f t="shared" si="7"/>
        <v>7070.024448189115</v>
      </c>
    </row>
    <row r="119" spans="1:7" ht="15" customHeight="1" x14ac:dyDescent="0.3">
      <c r="A119" s="17">
        <v>117</v>
      </c>
      <c r="B119" s="17">
        <v>2576</v>
      </c>
      <c r="C119" s="30">
        <f t="shared" si="4"/>
        <v>2516.86313654674</v>
      </c>
      <c r="D119" s="30">
        <f t="shared" si="5"/>
        <v>59.136863453260048</v>
      </c>
      <c r="E119" s="30">
        <f>PERCENTILE(D$4:D119,0.8)</f>
        <v>324.0565844437624</v>
      </c>
      <c r="F119" s="30">
        <f t="shared" si="6"/>
        <v>2840.9197209905024</v>
      </c>
      <c r="G119" s="32">
        <f t="shared" si="7"/>
        <v>8031.2642232075978</v>
      </c>
    </row>
    <row r="120" spans="1:7" ht="15" customHeight="1" x14ac:dyDescent="0.3">
      <c r="A120" s="17">
        <v>118</v>
      </c>
      <c r="B120" s="17">
        <v>2302</v>
      </c>
      <c r="C120" s="23">
        <f t="shared" si="4"/>
        <v>2528.6905092373918</v>
      </c>
      <c r="D120" s="23">
        <f t="shared" si="5"/>
        <v>-226.69050923739178</v>
      </c>
      <c r="E120" s="23">
        <f>PERCENTILE(D$4:D120,0.8)</f>
        <v>323.86016571523879</v>
      </c>
      <c r="F120" s="23">
        <f t="shared" si="6"/>
        <v>2852.5506749526307</v>
      </c>
      <c r="G120" s="26">
        <f t="shared" si="7"/>
        <v>6925.959460037895</v>
      </c>
    </row>
    <row r="121" spans="1:7" ht="15" customHeight="1" x14ac:dyDescent="0.3">
      <c r="A121" s="17">
        <v>119</v>
      </c>
      <c r="B121" s="17">
        <v>2351</v>
      </c>
      <c r="C121" s="30">
        <f t="shared" si="4"/>
        <v>2483.3524073899134</v>
      </c>
      <c r="D121" s="30">
        <f t="shared" si="5"/>
        <v>-132.35240738991342</v>
      </c>
      <c r="E121" s="30">
        <f>PERCENTILE(D$4:D121,0.8)</f>
        <v>323.66374698671518</v>
      </c>
      <c r="F121" s="30">
        <f t="shared" si="6"/>
        <v>2807.0161543766285</v>
      </c>
      <c r="G121" s="32">
        <f t="shared" si="7"/>
        <v>7158.3870764986968</v>
      </c>
    </row>
    <row r="122" spans="1:7" ht="15" customHeight="1" x14ac:dyDescent="0.3">
      <c r="A122" s="17">
        <v>120</v>
      </c>
      <c r="B122" s="17">
        <v>2186</v>
      </c>
      <c r="C122" s="23">
        <f t="shared" si="4"/>
        <v>2456.8819259119309</v>
      </c>
      <c r="D122" s="23">
        <f t="shared" si="5"/>
        <v>-270.88192591193092</v>
      </c>
      <c r="E122" s="23">
        <f>PERCENTILE(D$4:D122,0.8)</f>
        <v>323.46732825819151</v>
      </c>
      <c r="F122" s="23">
        <f t="shared" si="6"/>
        <v>2780.3492541701225</v>
      </c>
      <c r="G122" s="26">
        <f t="shared" si="7"/>
        <v>6519.7205966639012</v>
      </c>
    </row>
    <row r="123" spans="1:7" ht="15" customHeight="1" x14ac:dyDescent="0.3">
      <c r="A123" s="17">
        <v>121</v>
      </c>
      <c r="B123" s="17">
        <v>2049</v>
      </c>
      <c r="C123" s="30">
        <f t="shared" si="4"/>
        <v>2402.7055407295447</v>
      </c>
      <c r="D123" s="30">
        <f t="shared" si="5"/>
        <v>-353.70554072954474</v>
      </c>
      <c r="E123" s="30">
        <f>PERCENTILE(D$4:D123,0.8)</f>
        <v>323.2709095296679</v>
      </c>
      <c r="F123" s="30">
        <f t="shared" si="6"/>
        <v>2725.9764502592125</v>
      </c>
      <c r="G123" s="32">
        <f t="shared" si="7"/>
        <v>6015.2188397926293</v>
      </c>
    </row>
    <row r="124" spans="1:7" ht="15" customHeight="1" x14ac:dyDescent="0.3">
      <c r="A124" s="17">
        <v>122</v>
      </c>
      <c r="B124" s="17">
        <v>2610</v>
      </c>
      <c r="C124" s="23">
        <f t="shared" si="4"/>
        <v>2331.9644325836362</v>
      </c>
      <c r="D124" s="23">
        <f t="shared" si="5"/>
        <v>278.03556741636385</v>
      </c>
      <c r="E124" s="23">
        <f>PERCENTILE(D$4:D124,0.8)</f>
        <v>323.07449080114429</v>
      </c>
      <c r="F124" s="23">
        <f t="shared" si="6"/>
        <v>2655.0389233847804</v>
      </c>
      <c r="G124" s="26">
        <f t="shared" si="7"/>
        <v>8315.9688612921746</v>
      </c>
    </row>
    <row r="125" spans="1:7" ht="15" customHeight="1" x14ac:dyDescent="0.3">
      <c r="A125" s="17">
        <v>123</v>
      </c>
      <c r="B125" s="17">
        <v>2023</v>
      </c>
      <c r="C125" s="30">
        <f t="shared" si="4"/>
        <v>2387.5715460669089</v>
      </c>
      <c r="D125" s="30">
        <f t="shared" si="5"/>
        <v>-364.57154606690892</v>
      </c>
      <c r="E125" s="30">
        <f>PERCENTILE(D$4:D125,0.8)</f>
        <v>322.73287101627307</v>
      </c>
      <c r="F125" s="30">
        <f t="shared" si="6"/>
        <v>2710.3044170831818</v>
      </c>
      <c r="G125" s="32">
        <f t="shared" si="7"/>
        <v>5923.7564663334542</v>
      </c>
    </row>
    <row r="126" spans="1:7" ht="15" customHeight="1" x14ac:dyDescent="0.3">
      <c r="A126" s="17">
        <v>124</v>
      </c>
      <c r="B126" s="17">
        <v>2957</v>
      </c>
      <c r="C126" s="23">
        <f t="shared" si="4"/>
        <v>2314.6572368535271</v>
      </c>
      <c r="D126" s="23">
        <f t="shared" si="5"/>
        <v>642.34276314647286</v>
      </c>
      <c r="E126" s="23">
        <f>PERCENTILE(D$4:D126,0.8)</f>
        <v>323.66374698671518</v>
      </c>
      <c r="F126" s="23">
        <f t="shared" si="6"/>
        <v>2638.3209838402422</v>
      </c>
      <c r="G126" s="26">
        <f t="shared" si="7"/>
        <v>8442.6271482887751</v>
      </c>
    </row>
    <row r="127" spans="1:7" ht="15" customHeight="1" x14ac:dyDescent="0.3">
      <c r="A127" s="17">
        <v>125</v>
      </c>
      <c r="B127" s="17">
        <v>2073</v>
      </c>
      <c r="C127" s="30">
        <f t="shared" si="4"/>
        <v>2443.1257894828218</v>
      </c>
      <c r="D127" s="30">
        <f t="shared" si="5"/>
        <v>-370.1257894828218</v>
      </c>
      <c r="E127" s="30">
        <f>PERCENTILE(D$4:D127,0.8)</f>
        <v>323.46732825819151</v>
      </c>
      <c r="F127" s="30">
        <f t="shared" si="6"/>
        <v>2766.5931177410134</v>
      </c>
      <c r="G127" s="32">
        <f t="shared" si="7"/>
        <v>6078.7255058071896</v>
      </c>
    </row>
    <row r="128" spans="1:7" ht="15" customHeight="1" x14ac:dyDescent="0.3">
      <c r="A128" s="17">
        <v>126</v>
      </c>
      <c r="B128" s="17">
        <v>2077</v>
      </c>
      <c r="C128" s="23">
        <f t="shared" si="4"/>
        <v>2369.1006315862574</v>
      </c>
      <c r="D128" s="23">
        <f t="shared" si="5"/>
        <v>-292.10063158625735</v>
      </c>
      <c r="E128" s="23">
        <f>PERCENTILE(D$4:D128,0.8)</f>
        <v>323.2709095296679</v>
      </c>
      <c r="F128" s="23">
        <f t="shared" si="6"/>
        <v>2692.3715411159251</v>
      </c>
      <c r="G128" s="26">
        <f t="shared" si="7"/>
        <v>6154.1027671072598</v>
      </c>
    </row>
    <row r="129" spans="1:7" ht="15" customHeight="1" x14ac:dyDescent="0.3">
      <c r="A129" s="17">
        <v>127</v>
      </c>
      <c r="B129" s="17">
        <v>2172</v>
      </c>
      <c r="C129" s="30">
        <f t="shared" si="4"/>
        <v>2310.6805052690061</v>
      </c>
      <c r="D129" s="30">
        <f t="shared" si="5"/>
        <v>-138.68050526900606</v>
      </c>
      <c r="E129" s="30">
        <f>PERCENTILE(D$4:D129,0.8)</f>
        <v>323.07449080114429</v>
      </c>
      <c r="F129" s="30">
        <f t="shared" si="6"/>
        <v>2633.7549960701504</v>
      </c>
      <c r="G129" s="32">
        <f t="shared" si="7"/>
        <v>6580.9960031438795</v>
      </c>
    </row>
    <row r="130" spans="1:7" ht="15" customHeight="1" x14ac:dyDescent="0.3">
      <c r="A130" s="17">
        <v>128</v>
      </c>
      <c r="B130" s="17">
        <v>2129</v>
      </c>
      <c r="C130" s="23">
        <f t="shared" si="4"/>
        <v>2282.9444042152049</v>
      </c>
      <c r="D130" s="23">
        <f t="shared" si="5"/>
        <v>-153.94440421520494</v>
      </c>
      <c r="E130" s="23">
        <f>PERCENTILE(D$4:D130,0.8)</f>
        <v>322.73287101627307</v>
      </c>
      <c r="F130" s="23">
        <f t="shared" si="6"/>
        <v>2605.6772752314782</v>
      </c>
      <c r="G130" s="26">
        <f t="shared" si="7"/>
        <v>6431.4581798148174</v>
      </c>
    </row>
    <row r="131" spans="1:7" ht="15" customHeight="1" x14ac:dyDescent="0.3">
      <c r="A131" s="17">
        <v>129</v>
      </c>
      <c r="B131" s="17">
        <v>2583</v>
      </c>
      <c r="C131" s="30">
        <f t="shared" si="4"/>
        <v>2252.1555233721642</v>
      </c>
      <c r="D131" s="30">
        <f t="shared" si="5"/>
        <v>330.84447662783577</v>
      </c>
      <c r="E131" s="30">
        <f>PERCENTILE(D$4:D131,0.8)</f>
        <v>323.66374698671518</v>
      </c>
      <c r="F131" s="30">
        <f t="shared" si="6"/>
        <v>2575.8192703588793</v>
      </c>
      <c r="G131" s="32">
        <f t="shared" si="7"/>
        <v>8242.6216651484137</v>
      </c>
    </row>
    <row r="132" spans="1:7" ht="15" customHeight="1" x14ac:dyDescent="0.3">
      <c r="A132" s="17">
        <v>130</v>
      </c>
      <c r="B132" s="17">
        <v>3009</v>
      </c>
      <c r="C132" s="23">
        <f t="shared" ref="C132:C195" si="8">0.2*B131+0.8*C131</f>
        <v>2318.3244186977313</v>
      </c>
      <c r="D132" s="23">
        <f t="shared" ref="D132:D195" si="9">B132-C132</f>
        <v>690.67558130226871</v>
      </c>
      <c r="E132" s="23">
        <f>PERCENTILE(D$4:D132,0.8)</f>
        <v>326.77174131739179</v>
      </c>
      <c r="F132" s="23">
        <f t="shared" si="6"/>
        <v>2645.0961600151231</v>
      </c>
      <c r="G132" s="26">
        <f t="shared" si="7"/>
        <v>8464.307712048394</v>
      </c>
    </row>
    <row r="133" spans="1:7" ht="15" customHeight="1" x14ac:dyDescent="0.3">
      <c r="A133" s="17">
        <v>131</v>
      </c>
      <c r="B133" s="17">
        <v>2315</v>
      </c>
      <c r="C133" s="30">
        <f t="shared" si="8"/>
        <v>2456.459534958185</v>
      </c>
      <c r="D133" s="30">
        <f t="shared" si="9"/>
        <v>-141.45953495818503</v>
      </c>
      <c r="E133" s="30">
        <f>PERCENTILE(D$4:D133,0.8)</f>
        <v>325.41416288057712</v>
      </c>
      <c r="F133" s="30">
        <f t="shared" ref="F133:F196" si="10">C133+E133</f>
        <v>2781.8736978387624</v>
      </c>
      <c r="G133" s="32">
        <f t="shared" ref="G133:G196" si="11">4*MIN(F133,B133)-0.8*F133</f>
        <v>7034.5010417289905</v>
      </c>
    </row>
    <row r="134" spans="1:7" ht="15" customHeight="1" x14ac:dyDescent="0.3">
      <c r="A134" s="17">
        <v>132</v>
      </c>
      <c r="B134" s="17">
        <v>2549</v>
      </c>
      <c r="C134" s="23">
        <f t="shared" si="8"/>
        <v>2428.167627966548</v>
      </c>
      <c r="D134" s="23">
        <f t="shared" si="9"/>
        <v>120.83237203345197</v>
      </c>
      <c r="E134" s="23">
        <f>PERCENTILE(D$4:D134,0.8)</f>
        <v>324.0565844437624</v>
      </c>
      <c r="F134" s="23">
        <f t="shared" si="10"/>
        <v>2752.2242124103104</v>
      </c>
      <c r="G134" s="26">
        <f t="shared" si="11"/>
        <v>7994.2206300717517</v>
      </c>
    </row>
    <row r="135" spans="1:7" ht="15" customHeight="1" x14ac:dyDescent="0.3">
      <c r="A135" s="17">
        <v>133</v>
      </c>
      <c r="B135" s="17">
        <v>2817</v>
      </c>
      <c r="C135" s="30">
        <f t="shared" si="8"/>
        <v>2452.3341023732387</v>
      </c>
      <c r="D135" s="30">
        <f t="shared" si="9"/>
        <v>364.66589762676131</v>
      </c>
      <c r="E135" s="30">
        <f>PERCENTILE(D$4:D135,0.8)</f>
        <v>329.48689819102117</v>
      </c>
      <c r="F135" s="30">
        <f t="shared" si="10"/>
        <v>2781.82100056426</v>
      </c>
      <c r="G135" s="32">
        <f t="shared" si="11"/>
        <v>8901.8272018056323</v>
      </c>
    </row>
    <row r="136" spans="1:7" ht="15" customHeight="1" x14ac:dyDescent="0.3">
      <c r="A136" s="17">
        <v>134</v>
      </c>
      <c r="B136" s="17">
        <v>2610</v>
      </c>
      <c r="C136" s="23">
        <f t="shared" si="8"/>
        <v>2525.2672818985911</v>
      </c>
      <c r="D136" s="23">
        <f t="shared" si="9"/>
        <v>84.732718101408864</v>
      </c>
      <c r="E136" s="23">
        <f>PERCENTILE(D$4:D136,0.8)</f>
        <v>328.12931975420651</v>
      </c>
      <c r="F136" s="23">
        <f t="shared" si="10"/>
        <v>2853.3966016527975</v>
      </c>
      <c r="G136" s="26">
        <f t="shared" si="11"/>
        <v>8157.2827186777613</v>
      </c>
    </row>
    <row r="137" spans="1:7" ht="15" customHeight="1" x14ac:dyDescent="0.3">
      <c r="A137" s="17">
        <v>135</v>
      </c>
      <c r="B137" s="17">
        <v>2744</v>
      </c>
      <c r="C137" s="30">
        <f t="shared" si="8"/>
        <v>2542.2138255188729</v>
      </c>
      <c r="D137" s="30">
        <f t="shared" si="9"/>
        <v>201.78617448112709</v>
      </c>
      <c r="E137" s="30">
        <f>PERCENTILE(D$4:D137,0.8)</f>
        <v>326.77174131739179</v>
      </c>
      <c r="F137" s="30">
        <f t="shared" si="10"/>
        <v>2868.9855668362648</v>
      </c>
      <c r="G137" s="32">
        <f t="shared" si="11"/>
        <v>8680.8115465309875</v>
      </c>
    </row>
    <row r="138" spans="1:7" ht="15" customHeight="1" x14ac:dyDescent="0.3">
      <c r="A138" s="17">
        <v>136</v>
      </c>
      <c r="B138" s="17">
        <v>2103</v>
      </c>
      <c r="C138" s="23">
        <f t="shared" si="8"/>
        <v>2582.5710604150986</v>
      </c>
      <c r="D138" s="23">
        <f t="shared" si="9"/>
        <v>-479.5710604150986</v>
      </c>
      <c r="E138" s="23">
        <f>PERCENTILE(D$4:D138,0.8)</f>
        <v>325.41416288057712</v>
      </c>
      <c r="F138" s="23">
        <f t="shared" si="10"/>
        <v>2907.9852232956755</v>
      </c>
      <c r="G138" s="26">
        <f t="shared" si="11"/>
        <v>6085.61182136346</v>
      </c>
    </row>
    <row r="139" spans="1:7" ht="15" customHeight="1" x14ac:dyDescent="0.3">
      <c r="A139" s="17">
        <v>137</v>
      </c>
      <c r="B139" s="17">
        <v>2247</v>
      </c>
      <c r="C139" s="30">
        <f t="shared" si="8"/>
        <v>2486.6568483320789</v>
      </c>
      <c r="D139" s="30">
        <f t="shared" si="9"/>
        <v>-239.65684833207888</v>
      </c>
      <c r="E139" s="30">
        <f>PERCENTILE(D$4:D139,0.8)</f>
        <v>324.0565844437624</v>
      </c>
      <c r="F139" s="30">
        <f t="shared" si="10"/>
        <v>2810.7134327758413</v>
      </c>
      <c r="G139" s="32">
        <f t="shared" si="11"/>
        <v>6739.4292537793262</v>
      </c>
    </row>
    <row r="140" spans="1:7" ht="15" customHeight="1" x14ac:dyDescent="0.3">
      <c r="A140" s="17">
        <v>138</v>
      </c>
      <c r="B140" s="17">
        <v>2859</v>
      </c>
      <c r="C140" s="23">
        <f t="shared" si="8"/>
        <v>2438.7254786656631</v>
      </c>
      <c r="D140" s="23">
        <f t="shared" si="9"/>
        <v>420.2745213343369</v>
      </c>
      <c r="E140" s="23">
        <f>PERCENTILE(D$4:D140,0.8)</f>
        <v>329.48689819102117</v>
      </c>
      <c r="F140" s="23">
        <f t="shared" si="10"/>
        <v>2768.2123768566844</v>
      </c>
      <c r="G140" s="26">
        <f t="shared" si="11"/>
        <v>8858.2796059413904</v>
      </c>
    </row>
    <row r="141" spans="1:7" ht="15" customHeight="1" x14ac:dyDescent="0.3">
      <c r="A141" s="17">
        <v>139</v>
      </c>
      <c r="B141" s="17">
        <v>2665</v>
      </c>
      <c r="C141" s="30">
        <f t="shared" si="8"/>
        <v>2522.7803829325308</v>
      </c>
      <c r="D141" s="30">
        <f t="shared" si="9"/>
        <v>142.21961706746924</v>
      </c>
      <c r="E141" s="30">
        <f>PERCENTILE(D$4:D141,0.8)</f>
        <v>328.12931975420651</v>
      </c>
      <c r="F141" s="30">
        <f t="shared" si="10"/>
        <v>2850.9097026867371</v>
      </c>
      <c r="G141" s="32">
        <f t="shared" si="11"/>
        <v>8379.2722378506096</v>
      </c>
    </row>
    <row r="142" spans="1:7" ht="15" customHeight="1" x14ac:dyDescent="0.3">
      <c r="A142" s="17">
        <v>140</v>
      </c>
      <c r="B142" s="17">
        <v>2650</v>
      </c>
      <c r="C142" s="23">
        <f t="shared" si="8"/>
        <v>2551.2243063460246</v>
      </c>
      <c r="D142" s="23">
        <f t="shared" si="9"/>
        <v>98.775693653975395</v>
      </c>
      <c r="E142" s="23">
        <f>PERCENTILE(D$4:D142,0.8)</f>
        <v>326.77174131739179</v>
      </c>
      <c r="F142" s="23">
        <f t="shared" si="10"/>
        <v>2877.9960476634164</v>
      </c>
      <c r="G142" s="26">
        <f t="shared" si="11"/>
        <v>8297.6031618692668</v>
      </c>
    </row>
    <row r="143" spans="1:7" ht="15" customHeight="1" x14ac:dyDescent="0.3">
      <c r="A143" s="17">
        <v>141</v>
      </c>
      <c r="B143" s="17">
        <v>3017</v>
      </c>
      <c r="C143" s="30">
        <f t="shared" si="8"/>
        <v>2570.9794450768195</v>
      </c>
      <c r="D143" s="30">
        <f t="shared" si="9"/>
        <v>446.0205549231805</v>
      </c>
      <c r="E143" s="30">
        <f>PERCENTILE(D$4:D143,0.8)</f>
        <v>333.07083282743912</v>
      </c>
      <c r="F143" s="30">
        <f t="shared" si="10"/>
        <v>2904.0502779042586</v>
      </c>
      <c r="G143" s="32">
        <f t="shared" si="11"/>
        <v>9292.9608892936267</v>
      </c>
    </row>
    <row r="144" spans="1:7" ht="15" customHeight="1" x14ac:dyDescent="0.3">
      <c r="A144" s="17">
        <v>142</v>
      </c>
      <c r="B144" s="17">
        <v>2954</v>
      </c>
      <c r="C144" s="23">
        <f t="shared" si="8"/>
        <v>2660.1835560614559</v>
      </c>
      <c r="D144" s="23">
        <f t="shared" si="9"/>
        <v>293.81644393854413</v>
      </c>
      <c r="E144" s="23">
        <f>PERCENTILE(D$4:D144,0.8)</f>
        <v>330.84447662783577</v>
      </c>
      <c r="F144" s="23">
        <f t="shared" si="10"/>
        <v>2991.0280326892916</v>
      </c>
      <c r="G144" s="26">
        <f t="shared" si="11"/>
        <v>9423.1775738485667</v>
      </c>
    </row>
    <row r="145" spans="1:7" ht="15" customHeight="1" x14ac:dyDescent="0.3">
      <c r="A145" s="17">
        <v>143</v>
      </c>
      <c r="B145" s="17">
        <v>2291</v>
      </c>
      <c r="C145" s="30">
        <f t="shared" si="8"/>
        <v>2718.9468448491648</v>
      </c>
      <c r="D145" s="30">
        <f t="shared" si="9"/>
        <v>-427.94684484916479</v>
      </c>
      <c r="E145" s="30">
        <f>PERCENTILE(D$4:D145,0.8)</f>
        <v>329.48689819102117</v>
      </c>
      <c r="F145" s="30">
        <f t="shared" si="10"/>
        <v>3048.4337430401861</v>
      </c>
      <c r="G145" s="32">
        <f t="shared" si="11"/>
        <v>6725.2530055678508</v>
      </c>
    </row>
    <row r="146" spans="1:7" ht="15" customHeight="1" x14ac:dyDescent="0.3">
      <c r="A146" s="17">
        <v>144</v>
      </c>
      <c r="B146" s="17">
        <v>2322</v>
      </c>
      <c r="C146" s="23">
        <f t="shared" si="8"/>
        <v>2633.357475879332</v>
      </c>
      <c r="D146" s="23">
        <f t="shared" si="9"/>
        <v>-311.35747587933201</v>
      </c>
      <c r="E146" s="23">
        <f>PERCENTILE(D$4:D146,0.8)</f>
        <v>328.12931975420651</v>
      </c>
      <c r="F146" s="23">
        <f t="shared" si="10"/>
        <v>2961.4867956335383</v>
      </c>
      <c r="G146" s="26">
        <f t="shared" si="11"/>
        <v>6918.810563493169</v>
      </c>
    </row>
    <row r="147" spans="1:7" ht="15" customHeight="1" x14ac:dyDescent="0.3">
      <c r="A147" s="17">
        <v>145</v>
      </c>
      <c r="B147" s="17">
        <v>2361</v>
      </c>
      <c r="C147" s="30">
        <f t="shared" si="8"/>
        <v>2571.0859807034658</v>
      </c>
      <c r="D147" s="30">
        <f t="shared" si="9"/>
        <v>-210.08598070346579</v>
      </c>
      <c r="E147" s="30">
        <f>PERCENTILE(D$4:D147,0.8)</f>
        <v>326.77174131739179</v>
      </c>
      <c r="F147" s="30">
        <f t="shared" si="10"/>
        <v>2897.8577220208576</v>
      </c>
      <c r="G147" s="32">
        <f t="shared" si="11"/>
        <v>7125.7138223833135</v>
      </c>
    </row>
    <row r="148" spans="1:7" ht="15" customHeight="1" x14ac:dyDescent="0.3">
      <c r="A148" s="17">
        <v>146</v>
      </c>
      <c r="B148" s="17">
        <v>2402</v>
      </c>
      <c r="C148" s="23">
        <f t="shared" si="8"/>
        <v>2529.0687845627726</v>
      </c>
      <c r="D148" s="23">
        <f t="shared" si="9"/>
        <v>-127.06878456277263</v>
      </c>
      <c r="E148" s="23">
        <f>PERCENTILE(D$4:D148,0.8)</f>
        <v>325.41416288057712</v>
      </c>
      <c r="F148" s="23">
        <f t="shared" si="10"/>
        <v>2854.48294744335</v>
      </c>
      <c r="G148" s="26">
        <f t="shared" si="11"/>
        <v>7324.4136420453196</v>
      </c>
    </row>
    <row r="149" spans="1:7" ht="15" customHeight="1" x14ac:dyDescent="0.3">
      <c r="A149" s="17">
        <v>147</v>
      </c>
      <c r="B149" s="17">
        <v>2453</v>
      </c>
      <c r="C149" s="30">
        <f t="shared" si="8"/>
        <v>2503.655027650218</v>
      </c>
      <c r="D149" s="30">
        <f t="shared" si="9"/>
        <v>-50.655027650218017</v>
      </c>
      <c r="E149" s="30">
        <f>PERCENTILE(D$4:D149,0.8)</f>
        <v>324.0565844437624</v>
      </c>
      <c r="F149" s="30">
        <f t="shared" si="10"/>
        <v>2827.7116120939804</v>
      </c>
      <c r="G149" s="32">
        <f t="shared" si="11"/>
        <v>7549.8307103248153</v>
      </c>
    </row>
    <row r="150" spans="1:7" ht="15" customHeight="1" x14ac:dyDescent="0.3">
      <c r="A150" s="17">
        <v>148</v>
      </c>
      <c r="B150" s="17">
        <v>2351</v>
      </c>
      <c r="C150" s="23">
        <f t="shared" si="8"/>
        <v>2493.5240221201743</v>
      </c>
      <c r="D150" s="23">
        <f t="shared" si="9"/>
        <v>-142.52402212017432</v>
      </c>
      <c r="E150" s="23">
        <f>PERCENTILE(D$4:D150,0.8)</f>
        <v>323.86016571523879</v>
      </c>
      <c r="F150" s="23">
        <f t="shared" si="10"/>
        <v>2817.3841878354133</v>
      </c>
      <c r="G150" s="26">
        <f t="shared" si="11"/>
        <v>7150.0926497316686</v>
      </c>
    </row>
    <row r="151" spans="1:7" ht="15" customHeight="1" x14ac:dyDescent="0.3">
      <c r="A151" s="17">
        <v>149</v>
      </c>
      <c r="B151" s="17">
        <v>2985</v>
      </c>
      <c r="C151" s="30">
        <f t="shared" si="8"/>
        <v>2465.0192176961395</v>
      </c>
      <c r="D151" s="30">
        <f t="shared" si="9"/>
        <v>519.98078230386045</v>
      </c>
      <c r="E151" s="30">
        <f>PERCENTILE(D$4:D151,0.8)</f>
        <v>328.12931975420651</v>
      </c>
      <c r="F151" s="30">
        <f t="shared" si="10"/>
        <v>2793.1485374503459</v>
      </c>
      <c r="G151" s="32">
        <f t="shared" si="11"/>
        <v>8938.0753198411076</v>
      </c>
    </row>
    <row r="152" spans="1:7" ht="15" customHeight="1" x14ac:dyDescent="0.3">
      <c r="A152" s="17">
        <v>150</v>
      </c>
      <c r="B152" s="17">
        <v>2681</v>
      </c>
      <c r="C152" s="23">
        <f t="shared" si="8"/>
        <v>2569.015374156912</v>
      </c>
      <c r="D152" s="23">
        <f t="shared" si="9"/>
        <v>111.984625843088</v>
      </c>
      <c r="E152" s="23">
        <f>PERCENTILE(D$4:D152,0.8)</f>
        <v>326.77174131739179</v>
      </c>
      <c r="F152" s="23">
        <f t="shared" si="10"/>
        <v>2895.7871154743038</v>
      </c>
      <c r="G152" s="26">
        <f t="shared" si="11"/>
        <v>8407.3703076205566</v>
      </c>
    </row>
    <row r="153" spans="1:7" ht="15" customHeight="1" x14ac:dyDescent="0.3">
      <c r="A153" s="17">
        <v>151</v>
      </c>
      <c r="B153" s="17">
        <v>2851</v>
      </c>
      <c r="C153" s="30">
        <f t="shared" si="8"/>
        <v>2591.4122993255296</v>
      </c>
      <c r="D153" s="30">
        <f t="shared" si="9"/>
        <v>259.5877006744704</v>
      </c>
      <c r="E153" s="30">
        <f>PERCENTILE(D$4:D153,0.8)</f>
        <v>325.41416288057712</v>
      </c>
      <c r="F153" s="30">
        <f t="shared" si="10"/>
        <v>2916.826462206107</v>
      </c>
      <c r="G153" s="32">
        <f t="shared" si="11"/>
        <v>9070.5388302351148</v>
      </c>
    </row>
    <row r="154" spans="1:7" ht="15" customHeight="1" x14ac:dyDescent="0.3">
      <c r="A154" s="17">
        <v>152</v>
      </c>
      <c r="B154" s="17">
        <v>2662</v>
      </c>
      <c r="C154" s="23">
        <f t="shared" si="8"/>
        <v>2643.3298394604235</v>
      </c>
      <c r="D154" s="23">
        <f t="shared" si="9"/>
        <v>18.6701605395765</v>
      </c>
      <c r="E154" s="23">
        <f>PERCENTILE(D$4:D154,0.8)</f>
        <v>324.0565844437624</v>
      </c>
      <c r="F154" s="23">
        <f t="shared" si="10"/>
        <v>2967.3864239041859</v>
      </c>
      <c r="G154" s="26">
        <f t="shared" si="11"/>
        <v>8274.0908608766513</v>
      </c>
    </row>
    <row r="155" spans="1:7" ht="15" customHeight="1" x14ac:dyDescent="0.3">
      <c r="A155" s="17">
        <v>153</v>
      </c>
      <c r="B155" s="17">
        <v>2372</v>
      </c>
      <c r="C155" s="30">
        <f t="shared" si="8"/>
        <v>2647.063871568339</v>
      </c>
      <c r="D155" s="30">
        <f t="shared" si="9"/>
        <v>-275.06387156833898</v>
      </c>
      <c r="E155" s="30">
        <f>PERCENTILE(D$4:D155,0.8)</f>
        <v>323.86016571523879</v>
      </c>
      <c r="F155" s="30">
        <f t="shared" si="10"/>
        <v>2970.9240372835779</v>
      </c>
      <c r="G155" s="32">
        <f t="shared" si="11"/>
        <v>7111.2607701731376</v>
      </c>
    </row>
    <row r="156" spans="1:7" ht="15" customHeight="1" x14ac:dyDescent="0.3">
      <c r="A156" s="17">
        <v>154</v>
      </c>
      <c r="B156" s="17">
        <v>2794</v>
      </c>
      <c r="C156" s="23">
        <f t="shared" si="8"/>
        <v>2592.0510972546713</v>
      </c>
      <c r="D156" s="23">
        <f t="shared" si="9"/>
        <v>201.94890274532872</v>
      </c>
      <c r="E156" s="23">
        <f>PERCENTILE(D$4:D156,0.8)</f>
        <v>323.66374698671518</v>
      </c>
      <c r="F156" s="23">
        <f t="shared" si="10"/>
        <v>2915.7148442413863</v>
      </c>
      <c r="G156" s="26">
        <f t="shared" si="11"/>
        <v>8843.4281246068913</v>
      </c>
    </row>
    <row r="157" spans="1:7" ht="15" customHeight="1" x14ac:dyDescent="0.3">
      <c r="A157" s="17">
        <v>155</v>
      </c>
      <c r="B157" s="17">
        <v>3103</v>
      </c>
      <c r="C157" s="30">
        <f t="shared" si="8"/>
        <v>2632.4408778037373</v>
      </c>
      <c r="D157" s="30">
        <f t="shared" si="9"/>
        <v>470.55912219626271</v>
      </c>
      <c r="E157" s="30">
        <f>PERCENTILE(D$4:D157,0.8)</f>
        <v>326.77174131739179</v>
      </c>
      <c r="F157" s="30">
        <f t="shared" si="10"/>
        <v>2959.2126191211291</v>
      </c>
      <c r="G157" s="32">
        <f t="shared" si="11"/>
        <v>9469.4803811876136</v>
      </c>
    </row>
    <row r="158" spans="1:7" ht="15" customHeight="1" x14ac:dyDescent="0.3">
      <c r="A158" s="17">
        <v>156</v>
      </c>
      <c r="B158" s="17">
        <v>2515</v>
      </c>
      <c r="C158" s="23">
        <f t="shared" si="8"/>
        <v>2726.5527022429897</v>
      </c>
      <c r="D158" s="23">
        <f t="shared" si="9"/>
        <v>-211.55270224298965</v>
      </c>
      <c r="E158" s="23">
        <f>PERCENTILE(D$4:D158,0.8)</f>
        <v>325.41416288057712</v>
      </c>
      <c r="F158" s="23">
        <f t="shared" si="10"/>
        <v>3051.966865123567</v>
      </c>
      <c r="G158" s="26">
        <f t="shared" si="11"/>
        <v>7618.4265079011457</v>
      </c>
    </row>
    <row r="159" spans="1:7" ht="15" customHeight="1" x14ac:dyDescent="0.3">
      <c r="A159" s="17">
        <v>157</v>
      </c>
      <c r="B159" s="17">
        <v>3057</v>
      </c>
      <c r="C159" s="30">
        <f t="shared" si="8"/>
        <v>2684.2421617943919</v>
      </c>
      <c r="D159" s="30">
        <f t="shared" si="9"/>
        <v>372.7578382056081</v>
      </c>
      <c r="E159" s="30">
        <f>PERCENTILE(D$4:D159,0.8)</f>
        <v>330.84447662783577</v>
      </c>
      <c r="F159" s="30">
        <f t="shared" si="10"/>
        <v>3015.0866384222277</v>
      </c>
      <c r="G159" s="32">
        <f t="shared" si="11"/>
        <v>9648.2772429511278</v>
      </c>
    </row>
    <row r="160" spans="1:7" ht="15" customHeight="1" x14ac:dyDescent="0.3">
      <c r="A160" s="17">
        <v>158</v>
      </c>
      <c r="B160" s="17">
        <v>2385</v>
      </c>
      <c r="C160" s="23">
        <f t="shared" si="8"/>
        <v>2758.7937294355138</v>
      </c>
      <c r="D160" s="23">
        <f t="shared" si="9"/>
        <v>-373.7937294355138</v>
      </c>
      <c r="E160" s="23">
        <f>PERCENTILE(D$4:D160,0.8)</f>
        <v>329.48689819102117</v>
      </c>
      <c r="F160" s="23">
        <f t="shared" si="10"/>
        <v>3088.2806276265351</v>
      </c>
      <c r="G160" s="26">
        <f t="shared" si="11"/>
        <v>7069.3754978987718</v>
      </c>
    </row>
    <row r="161" spans="1:7" ht="15" customHeight="1" x14ac:dyDescent="0.3">
      <c r="A161" s="17">
        <v>159</v>
      </c>
      <c r="B161" s="17">
        <v>2229</v>
      </c>
      <c r="C161" s="30">
        <f t="shared" si="8"/>
        <v>2684.0349835484112</v>
      </c>
      <c r="D161" s="30">
        <f t="shared" si="9"/>
        <v>-455.03498354841122</v>
      </c>
      <c r="E161" s="30">
        <f>PERCENTILE(D$4:D161,0.8)</f>
        <v>328.12931975420651</v>
      </c>
      <c r="F161" s="30">
        <f t="shared" si="10"/>
        <v>3012.1643033026176</v>
      </c>
      <c r="G161" s="32">
        <f t="shared" si="11"/>
        <v>6506.2685573579056</v>
      </c>
    </row>
    <row r="162" spans="1:7" ht="15" customHeight="1" x14ac:dyDescent="0.3">
      <c r="A162" s="17">
        <v>160</v>
      </c>
      <c r="B162" s="17">
        <v>2569</v>
      </c>
      <c r="C162" s="23">
        <f t="shared" si="8"/>
        <v>2593.0279868387292</v>
      </c>
      <c r="D162" s="23">
        <f t="shared" si="9"/>
        <v>-24.027986838729248</v>
      </c>
      <c r="E162" s="23">
        <f>PERCENTILE(D$4:D162,0.8)</f>
        <v>326.77174131739179</v>
      </c>
      <c r="F162" s="23">
        <f t="shared" si="10"/>
        <v>2919.7997281561211</v>
      </c>
      <c r="G162" s="26">
        <f t="shared" si="11"/>
        <v>7940.1602174751024</v>
      </c>
    </row>
    <row r="163" spans="1:7" ht="15" customHeight="1" x14ac:dyDescent="0.3">
      <c r="A163" s="17">
        <v>161</v>
      </c>
      <c r="B163" s="17">
        <v>2173</v>
      </c>
      <c r="C163" s="30">
        <f t="shared" si="8"/>
        <v>2588.2223894709837</v>
      </c>
      <c r="D163" s="30">
        <f t="shared" si="9"/>
        <v>-415.22238947098367</v>
      </c>
      <c r="E163" s="30">
        <f>PERCENTILE(D$4:D163,0.8)</f>
        <v>325.41416288057701</v>
      </c>
      <c r="F163" s="30">
        <f t="shared" si="10"/>
        <v>2913.6365523515606</v>
      </c>
      <c r="G163" s="32">
        <f t="shared" si="11"/>
        <v>6361.0907581187512</v>
      </c>
    </row>
    <row r="164" spans="1:7" ht="15" customHeight="1" x14ac:dyDescent="0.3">
      <c r="A164" s="17">
        <v>162</v>
      </c>
      <c r="B164" s="17">
        <v>2665</v>
      </c>
      <c r="C164" s="23">
        <f t="shared" si="8"/>
        <v>2505.1779115767868</v>
      </c>
      <c r="D164" s="23">
        <f t="shared" si="9"/>
        <v>159.82208842321324</v>
      </c>
      <c r="E164" s="23">
        <f>PERCENTILE(D$4:D164,0.8)</f>
        <v>324.0565844437624</v>
      </c>
      <c r="F164" s="23">
        <f t="shared" si="10"/>
        <v>2829.2344960205492</v>
      </c>
      <c r="G164" s="26">
        <f t="shared" si="11"/>
        <v>8396.6124031835607</v>
      </c>
    </row>
    <row r="165" spans="1:7" ht="15" customHeight="1" x14ac:dyDescent="0.3">
      <c r="A165" s="17">
        <v>163</v>
      </c>
      <c r="B165" s="17">
        <v>3134</v>
      </c>
      <c r="C165" s="30">
        <f t="shared" si="8"/>
        <v>2537.1423292614295</v>
      </c>
      <c r="D165" s="30">
        <f t="shared" si="9"/>
        <v>596.8576707385705</v>
      </c>
      <c r="E165" s="30">
        <f>PERCENTILE(D$4:D165,0.8)</f>
        <v>329.48689819102117</v>
      </c>
      <c r="F165" s="30">
        <f t="shared" si="10"/>
        <v>2866.6292274524508</v>
      </c>
      <c r="G165" s="32">
        <f t="shared" si="11"/>
        <v>9173.2135278478418</v>
      </c>
    </row>
    <row r="166" spans="1:7" ht="15" customHeight="1" x14ac:dyDescent="0.3">
      <c r="A166" s="17">
        <v>164</v>
      </c>
      <c r="B166" s="17">
        <v>2628</v>
      </c>
      <c r="C166" s="23">
        <f t="shared" si="8"/>
        <v>2656.5138634091436</v>
      </c>
      <c r="D166" s="23">
        <f t="shared" si="9"/>
        <v>-28.513863409143596</v>
      </c>
      <c r="E166" s="23">
        <f>PERCENTILE(D$4:D166,0.8)</f>
        <v>328.12931975420639</v>
      </c>
      <c r="F166" s="23">
        <f t="shared" si="10"/>
        <v>2984.6431831633499</v>
      </c>
      <c r="G166" s="26">
        <f t="shared" si="11"/>
        <v>8124.2854534693197</v>
      </c>
    </row>
    <row r="167" spans="1:7" ht="15" customHeight="1" x14ac:dyDescent="0.3">
      <c r="A167" s="17">
        <v>165</v>
      </c>
      <c r="B167" s="17">
        <v>2520</v>
      </c>
      <c r="C167" s="30">
        <f t="shared" si="8"/>
        <v>2650.8110907273149</v>
      </c>
      <c r="D167" s="30">
        <f t="shared" si="9"/>
        <v>-130.81109072731488</v>
      </c>
      <c r="E167" s="30">
        <f>PERCENTILE(D$4:D167,0.8)</f>
        <v>326.77174131739179</v>
      </c>
      <c r="F167" s="30">
        <f t="shared" si="10"/>
        <v>2977.5828320447067</v>
      </c>
      <c r="G167" s="32">
        <f t="shared" si="11"/>
        <v>7697.9337343642346</v>
      </c>
    </row>
    <row r="168" spans="1:7" ht="15" customHeight="1" x14ac:dyDescent="0.3">
      <c r="A168" s="17">
        <v>166</v>
      </c>
      <c r="B168" s="17">
        <v>2587</v>
      </c>
      <c r="C168" s="23">
        <f t="shared" si="8"/>
        <v>2624.6488725818522</v>
      </c>
      <c r="D168" s="23">
        <f t="shared" si="9"/>
        <v>-37.648872581852174</v>
      </c>
      <c r="E168" s="23">
        <f>PERCENTILE(D$4:D168,0.8)</f>
        <v>325.41416288057718</v>
      </c>
      <c r="F168" s="23">
        <f t="shared" si="10"/>
        <v>2950.0630354624295</v>
      </c>
      <c r="G168" s="26">
        <f t="shared" si="11"/>
        <v>7987.9495716300562</v>
      </c>
    </row>
    <row r="169" spans="1:7" ht="15" customHeight="1" x14ac:dyDescent="0.3">
      <c r="A169" s="17">
        <v>167</v>
      </c>
      <c r="B169" s="17">
        <v>2422</v>
      </c>
      <c r="C169" s="30">
        <f t="shared" si="8"/>
        <v>2617.1190980654819</v>
      </c>
      <c r="D169" s="30">
        <f t="shared" si="9"/>
        <v>-195.11909806548192</v>
      </c>
      <c r="E169" s="30">
        <f>PERCENTILE(D$4:D169,0.8)</f>
        <v>324.0565844437624</v>
      </c>
      <c r="F169" s="30">
        <f t="shared" si="10"/>
        <v>2941.1756825092443</v>
      </c>
      <c r="G169" s="32">
        <f t="shared" si="11"/>
        <v>7335.0594539926042</v>
      </c>
    </row>
    <row r="170" spans="1:7" ht="15" customHeight="1" x14ac:dyDescent="0.3">
      <c r="A170" s="17">
        <v>168</v>
      </c>
      <c r="B170" s="17">
        <v>2648</v>
      </c>
      <c r="C170" s="23">
        <f t="shared" si="8"/>
        <v>2578.0952784523856</v>
      </c>
      <c r="D170" s="23">
        <f t="shared" si="9"/>
        <v>69.904721547614372</v>
      </c>
      <c r="E170" s="23">
        <f>PERCENTILE(D$4:D170,0.8)</f>
        <v>323.86016571523879</v>
      </c>
      <c r="F170" s="23">
        <f t="shared" si="10"/>
        <v>2901.9554441676246</v>
      </c>
      <c r="G170" s="26">
        <f t="shared" si="11"/>
        <v>8270.4356446659003</v>
      </c>
    </row>
    <row r="171" spans="1:7" ht="15" customHeight="1" x14ac:dyDescent="0.3">
      <c r="A171" s="17">
        <v>169</v>
      </c>
      <c r="B171" s="17">
        <v>3021</v>
      </c>
      <c r="C171" s="30">
        <f t="shared" si="8"/>
        <v>2592.0762227619084</v>
      </c>
      <c r="D171" s="30">
        <f t="shared" si="9"/>
        <v>428.92377723809159</v>
      </c>
      <c r="E171" s="30">
        <f>PERCENTILE(D$4:D171,0.8)</f>
        <v>328.12931975420639</v>
      </c>
      <c r="F171" s="30">
        <f t="shared" si="10"/>
        <v>2920.2055425161147</v>
      </c>
      <c r="G171" s="32">
        <f t="shared" si="11"/>
        <v>9344.6577360515676</v>
      </c>
    </row>
    <row r="172" spans="1:7" ht="15" customHeight="1" x14ac:dyDescent="0.3">
      <c r="A172" s="17">
        <v>170</v>
      </c>
      <c r="B172" s="17">
        <v>2605</v>
      </c>
      <c r="C172" s="23">
        <f t="shared" si="8"/>
        <v>2677.8609782095273</v>
      </c>
      <c r="D172" s="23">
        <f t="shared" si="9"/>
        <v>-72.860978209527275</v>
      </c>
      <c r="E172" s="23">
        <f>PERCENTILE(D$4:D172,0.8)</f>
        <v>326.77174131739179</v>
      </c>
      <c r="F172" s="23">
        <f t="shared" si="10"/>
        <v>3004.6327195269191</v>
      </c>
      <c r="G172" s="26">
        <f t="shared" si="11"/>
        <v>8016.2938243784647</v>
      </c>
    </row>
    <row r="173" spans="1:7" ht="15" customHeight="1" x14ac:dyDescent="0.3">
      <c r="A173" s="17">
        <v>171</v>
      </c>
      <c r="B173" s="17">
        <v>2780</v>
      </c>
      <c r="C173" s="30">
        <f t="shared" si="8"/>
        <v>2663.2887825676221</v>
      </c>
      <c r="D173" s="30">
        <f t="shared" si="9"/>
        <v>116.71121743237791</v>
      </c>
      <c r="E173" s="30">
        <f>PERCENTILE(D$4:D173,0.8)</f>
        <v>325.41416288057718</v>
      </c>
      <c r="F173" s="30">
        <f t="shared" si="10"/>
        <v>2988.7029454481994</v>
      </c>
      <c r="G173" s="32">
        <f t="shared" si="11"/>
        <v>8729.0376436414408</v>
      </c>
    </row>
    <row r="174" spans="1:7" ht="15" customHeight="1" x14ac:dyDescent="0.3">
      <c r="A174" s="17">
        <v>172</v>
      </c>
      <c r="B174" s="17">
        <v>2967</v>
      </c>
      <c r="C174" s="23">
        <f t="shared" si="8"/>
        <v>2686.6310260540977</v>
      </c>
      <c r="D174" s="23">
        <f t="shared" si="9"/>
        <v>280.36897394590233</v>
      </c>
      <c r="E174" s="23">
        <f>PERCENTILE(D$4:D174,0.8)</f>
        <v>324.0565844437624</v>
      </c>
      <c r="F174" s="23">
        <f t="shared" si="10"/>
        <v>3010.6876104978601</v>
      </c>
      <c r="G174" s="26">
        <f t="shared" si="11"/>
        <v>9459.4499116017123</v>
      </c>
    </row>
    <row r="175" spans="1:7" ht="15" customHeight="1" x14ac:dyDescent="0.3">
      <c r="A175" s="17">
        <v>173</v>
      </c>
      <c r="B175" s="17">
        <v>2983</v>
      </c>
      <c r="C175" s="30">
        <f t="shared" si="8"/>
        <v>2742.7048208432784</v>
      </c>
      <c r="D175" s="30">
        <f t="shared" si="9"/>
        <v>240.29517915672159</v>
      </c>
      <c r="E175" s="30">
        <f>PERCENTILE(D$4:D175,0.8)</f>
        <v>323.86016571523879</v>
      </c>
      <c r="F175" s="30">
        <f t="shared" si="10"/>
        <v>3066.5649865585174</v>
      </c>
      <c r="G175" s="32">
        <f t="shared" si="11"/>
        <v>9478.7480107531865</v>
      </c>
    </row>
    <row r="176" spans="1:7" ht="15" customHeight="1" x14ac:dyDescent="0.3">
      <c r="A176" s="17">
        <v>174</v>
      </c>
      <c r="B176" s="17">
        <v>2343</v>
      </c>
      <c r="C176" s="23">
        <f t="shared" si="8"/>
        <v>2790.7638566746227</v>
      </c>
      <c r="D176" s="23">
        <f t="shared" si="9"/>
        <v>-447.76385667462273</v>
      </c>
      <c r="E176" s="23">
        <f>PERCENTILE(D$4:D176,0.8)</f>
        <v>323.66374698671518</v>
      </c>
      <c r="F176" s="23">
        <f t="shared" si="10"/>
        <v>3114.4276036613378</v>
      </c>
      <c r="G176" s="26">
        <f t="shared" si="11"/>
        <v>6880.4579170709294</v>
      </c>
    </row>
    <row r="177" spans="1:7" ht="15" customHeight="1" x14ac:dyDescent="0.3">
      <c r="A177" s="17">
        <v>175</v>
      </c>
      <c r="B177" s="17">
        <v>3033</v>
      </c>
      <c r="C177" s="30">
        <f t="shared" si="8"/>
        <v>2701.211085339698</v>
      </c>
      <c r="D177" s="30">
        <f t="shared" si="9"/>
        <v>331.788914660302</v>
      </c>
      <c r="E177" s="30">
        <f>PERCENTILE(D$4:D177,0.8)</f>
        <v>326.77174131739179</v>
      </c>
      <c r="F177" s="30">
        <f t="shared" si="10"/>
        <v>3027.9828266570898</v>
      </c>
      <c r="G177" s="32">
        <f t="shared" si="11"/>
        <v>9689.5450453026879</v>
      </c>
    </row>
    <row r="178" spans="1:7" ht="15" customHeight="1" x14ac:dyDescent="0.3">
      <c r="A178" s="17">
        <v>176</v>
      </c>
      <c r="B178" s="17">
        <v>2957</v>
      </c>
      <c r="C178" s="23">
        <f t="shared" si="8"/>
        <v>2767.5688682717582</v>
      </c>
      <c r="D178" s="23">
        <f t="shared" si="9"/>
        <v>189.43113172824178</v>
      </c>
      <c r="E178" s="23">
        <f>PERCENTILE(D$4:D178,0.8)</f>
        <v>325.41416288057718</v>
      </c>
      <c r="F178" s="23">
        <f t="shared" si="10"/>
        <v>3092.9830311523356</v>
      </c>
      <c r="G178" s="26">
        <f t="shared" si="11"/>
        <v>9353.6135750781323</v>
      </c>
    </row>
    <row r="179" spans="1:7" ht="15" customHeight="1" x14ac:dyDescent="0.3">
      <c r="A179" s="17">
        <v>177</v>
      </c>
      <c r="B179" s="17">
        <v>3195</v>
      </c>
      <c r="C179" s="30">
        <f t="shared" si="8"/>
        <v>2805.4550946174068</v>
      </c>
      <c r="D179" s="30">
        <f t="shared" si="9"/>
        <v>389.54490538259324</v>
      </c>
      <c r="E179" s="30">
        <f>PERCENTILE(D$4:D179,0.8)</f>
        <v>330.84447662783577</v>
      </c>
      <c r="F179" s="30">
        <f t="shared" si="10"/>
        <v>3136.2995712452425</v>
      </c>
      <c r="G179" s="32">
        <f t="shared" si="11"/>
        <v>10036.158627984776</v>
      </c>
    </row>
    <row r="180" spans="1:7" ht="15" customHeight="1" x14ac:dyDescent="0.3">
      <c r="A180" s="17">
        <v>178</v>
      </c>
      <c r="B180" s="17">
        <v>2507</v>
      </c>
      <c r="C180" s="23">
        <f t="shared" si="8"/>
        <v>2883.3640756939253</v>
      </c>
      <c r="D180" s="23">
        <f t="shared" si="9"/>
        <v>-376.36407569392532</v>
      </c>
      <c r="E180" s="23">
        <f>PERCENTILE(D$4:D180,0.8)</f>
        <v>329.48689819102117</v>
      </c>
      <c r="F180" s="23">
        <f t="shared" si="10"/>
        <v>3212.8509738849466</v>
      </c>
      <c r="G180" s="26">
        <f t="shared" si="11"/>
        <v>7457.7192208920424</v>
      </c>
    </row>
    <row r="181" spans="1:7" ht="15" customHeight="1" x14ac:dyDescent="0.3">
      <c r="A181" s="17">
        <v>179</v>
      </c>
      <c r="B181" s="17">
        <v>3055</v>
      </c>
      <c r="C181" s="30">
        <f t="shared" si="8"/>
        <v>2808.0912605551403</v>
      </c>
      <c r="D181" s="30">
        <f t="shared" si="9"/>
        <v>246.90873944485975</v>
      </c>
      <c r="E181" s="30">
        <f>PERCENTILE(D$4:D181,0.8)</f>
        <v>328.12931975420639</v>
      </c>
      <c r="F181" s="30">
        <f t="shared" si="10"/>
        <v>3136.2205803093466</v>
      </c>
      <c r="G181" s="32">
        <f t="shared" si="11"/>
        <v>9711.0235357525235</v>
      </c>
    </row>
    <row r="182" spans="1:7" ht="15" customHeight="1" x14ac:dyDescent="0.3">
      <c r="A182" s="17">
        <v>180</v>
      </c>
      <c r="B182" s="17">
        <v>2282</v>
      </c>
      <c r="C182" s="23">
        <f t="shared" si="8"/>
        <v>2857.4730084441121</v>
      </c>
      <c r="D182" s="23">
        <f t="shared" si="9"/>
        <v>-575.47300844411211</v>
      </c>
      <c r="E182" s="23">
        <f>PERCENTILE(D$4:D182,0.8)</f>
        <v>326.77174131739179</v>
      </c>
      <c r="F182" s="23">
        <f t="shared" si="10"/>
        <v>3184.244749761504</v>
      </c>
      <c r="G182" s="26">
        <f t="shared" si="11"/>
        <v>6580.6042001907972</v>
      </c>
    </row>
    <row r="183" spans="1:7" ht="15" customHeight="1" x14ac:dyDescent="0.3">
      <c r="A183" s="17">
        <v>181</v>
      </c>
      <c r="B183" s="17">
        <v>2714</v>
      </c>
      <c r="C183" s="30">
        <f t="shared" si="8"/>
        <v>2742.3784067552897</v>
      </c>
      <c r="D183" s="30">
        <f t="shared" si="9"/>
        <v>-28.378406755289689</v>
      </c>
      <c r="E183" s="30">
        <f>PERCENTILE(D$4:D183,0.8)</f>
        <v>325.41416288057718</v>
      </c>
      <c r="F183" s="30">
        <f t="shared" si="10"/>
        <v>3067.792569635867</v>
      </c>
      <c r="G183" s="32">
        <f t="shared" si="11"/>
        <v>8401.7659442913064</v>
      </c>
    </row>
    <row r="184" spans="1:7" ht="15" customHeight="1" x14ac:dyDescent="0.3">
      <c r="A184" s="17">
        <v>182</v>
      </c>
      <c r="B184" s="17">
        <v>2250</v>
      </c>
      <c r="C184" s="23">
        <f t="shared" si="8"/>
        <v>2736.7027254042318</v>
      </c>
      <c r="D184" s="23">
        <f t="shared" si="9"/>
        <v>-486.70272540423184</v>
      </c>
      <c r="E184" s="23">
        <f>PERCENTILE(D$4:D184,0.8)</f>
        <v>324.0565844437624</v>
      </c>
      <c r="F184" s="23">
        <f t="shared" si="10"/>
        <v>3060.7593098479942</v>
      </c>
      <c r="G184" s="26">
        <f t="shared" si="11"/>
        <v>6551.3925521216042</v>
      </c>
    </row>
    <row r="185" spans="1:7" ht="15" customHeight="1" x14ac:dyDescent="0.3">
      <c r="A185" s="17">
        <v>183</v>
      </c>
      <c r="B185" s="17">
        <v>2797</v>
      </c>
      <c r="C185" s="30">
        <f t="shared" si="8"/>
        <v>2639.3621803233855</v>
      </c>
      <c r="D185" s="30">
        <f t="shared" si="9"/>
        <v>157.63781967661453</v>
      </c>
      <c r="E185" s="30">
        <f>PERCENTILE(D$4:D185,0.8)</f>
        <v>323.86016571523879</v>
      </c>
      <c r="F185" s="30">
        <f t="shared" si="10"/>
        <v>2963.2223460386244</v>
      </c>
      <c r="G185" s="32">
        <f t="shared" si="11"/>
        <v>8817.4221231691008</v>
      </c>
    </row>
    <row r="186" spans="1:7" ht="15" customHeight="1" x14ac:dyDescent="0.3">
      <c r="A186" s="17">
        <v>184</v>
      </c>
      <c r="B186" s="17">
        <v>2969</v>
      </c>
      <c r="C186" s="23">
        <f t="shared" si="8"/>
        <v>2670.8897442587086</v>
      </c>
      <c r="D186" s="23">
        <f t="shared" si="9"/>
        <v>298.11025574129144</v>
      </c>
      <c r="E186" s="23">
        <f>PERCENTILE(D$4:D186,0.8)</f>
        <v>323.66374698671518</v>
      </c>
      <c r="F186" s="23">
        <f t="shared" si="10"/>
        <v>2994.5534912454236</v>
      </c>
      <c r="G186" s="26">
        <f t="shared" si="11"/>
        <v>9480.3572070036607</v>
      </c>
    </row>
    <row r="187" spans="1:7" ht="15" customHeight="1" x14ac:dyDescent="0.3">
      <c r="A187" s="17">
        <v>185</v>
      </c>
      <c r="B187" s="17">
        <v>2927</v>
      </c>
      <c r="C187" s="30">
        <f t="shared" si="8"/>
        <v>2730.5117954069669</v>
      </c>
      <c r="D187" s="30">
        <f t="shared" si="9"/>
        <v>196.48820459303306</v>
      </c>
      <c r="E187" s="30">
        <f>PERCENTILE(D$4:D187,0.8)</f>
        <v>323.46732825819151</v>
      </c>
      <c r="F187" s="30">
        <f t="shared" si="10"/>
        <v>3053.9791236651586</v>
      </c>
      <c r="G187" s="32">
        <f t="shared" si="11"/>
        <v>9264.8167010678735</v>
      </c>
    </row>
    <row r="188" spans="1:7" ht="15" customHeight="1" x14ac:dyDescent="0.3">
      <c r="A188" s="17">
        <v>186</v>
      </c>
      <c r="B188" s="17">
        <v>2420</v>
      </c>
      <c r="C188" s="23">
        <f t="shared" si="8"/>
        <v>2769.8094363255736</v>
      </c>
      <c r="D188" s="23">
        <f t="shared" si="9"/>
        <v>-349.80943632557364</v>
      </c>
      <c r="E188" s="23">
        <f>PERCENTILE(D$4:D188,0.8)</f>
        <v>323.2709095296679</v>
      </c>
      <c r="F188" s="23">
        <f t="shared" si="10"/>
        <v>3093.0803458552414</v>
      </c>
      <c r="G188" s="26">
        <f t="shared" si="11"/>
        <v>7205.5357233158065</v>
      </c>
    </row>
    <row r="189" spans="1:7" ht="15" customHeight="1" x14ac:dyDescent="0.3">
      <c r="A189" s="17">
        <v>187</v>
      </c>
      <c r="B189" s="17">
        <v>2990</v>
      </c>
      <c r="C189" s="30">
        <f t="shared" si="8"/>
        <v>2699.8475490604592</v>
      </c>
      <c r="D189" s="30">
        <f t="shared" si="9"/>
        <v>290.15245093954081</v>
      </c>
      <c r="E189" s="30">
        <f>PERCENTILE(D$4:D189,0.8)</f>
        <v>323.07449080114429</v>
      </c>
      <c r="F189" s="30">
        <f t="shared" si="10"/>
        <v>3022.9220398616035</v>
      </c>
      <c r="G189" s="32">
        <f t="shared" si="11"/>
        <v>9541.6623681107176</v>
      </c>
    </row>
    <row r="190" spans="1:7" ht="15" customHeight="1" x14ac:dyDescent="0.3">
      <c r="A190" s="17">
        <v>188</v>
      </c>
      <c r="B190" s="17">
        <v>3203</v>
      </c>
      <c r="C190" s="23">
        <f t="shared" si="8"/>
        <v>2757.8780392483673</v>
      </c>
      <c r="D190" s="23">
        <f t="shared" si="9"/>
        <v>445.12196075163274</v>
      </c>
      <c r="E190" s="23">
        <f>PERCENTILE(D$4:D190,0.8)</f>
        <v>323.86016571523879</v>
      </c>
      <c r="F190" s="23">
        <f t="shared" si="10"/>
        <v>3081.7382049636062</v>
      </c>
      <c r="G190" s="26">
        <f t="shared" si="11"/>
        <v>9861.5622558835403</v>
      </c>
    </row>
    <row r="191" spans="1:7" ht="15" customHeight="1" x14ac:dyDescent="0.3">
      <c r="A191" s="17">
        <v>189</v>
      </c>
      <c r="B191" s="17">
        <v>2720</v>
      </c>
      <c r="C191" s="30">
        <f t="shared" si="8"/>
        <v>2846.9024313986938</v>
      </c>
      <c r="D191" s="30">
        <f t="shared" si="9"/>
        <v>-126.90243139869381</v>
      </c>
      <c r="E191" s="30">
        <f>PERCENTILE(D$4:D191,0.8)</f>
        <v>323.66374698671518</v>
      </c>
      <c r="F191" s="30">
        <f t="shared" si="10"/>
        <v>3170.5661783854089</v>
      </c>
      <c r="G191" s="32">
        <f t="shared" si="11"/>
        <v>8343.5470572916729</v>
      </c>
    </row>
    <row r="192" spans="1:7" ht="15" customHeight="1" x14ac:dyDescent="0.3">
      <c r="A192" s="17">
        <v>190</v>
      </c>
      <c r="B192" s="17">
        <v>2267</v>
      </c>
      <c r="C192" s="23">
        <f t="shared" si="8"/>
        <v>2821.521945118955</v>
      </c>
      <c r="D192" s="23">
        <f t="shared" si="9"/>
        <v>-554.52194511895505</v>
      </c>
      <c r="E192" s="23">
        <f>PERCENTILE(D$4:D192,0.8)</f>
        <v>323.46732825819151</v>
      </c>
      <c r="F192" s="23">
        <f t="shared" si="10"/>
        <v>3144.9892733771467</v>
      </c>
      <c r="G192" s="26">
        <f t="shared" si="11"/>
        <v>6552.0085812982825</v>
      </c>
    </row>
    <row r="193" spans="1:7" ht="15" customHeight="1" x14ac:dyDescent="0.3">
      <c r="A193" s="17">
        <v>191</v>
      </c>
      <c r="B193" s="17">
        <v>2700</v>
      </c>
      <c r="C193" s="30">
        <f t="shared" si="8"/>
        <v>2710.6175560951642</v>
      </c>
      <c r="D193" s="30">
        <f t="shared" si="9"/>
        <v>-10.617556095164218</v>
      </c>
      <c r="E193" s="30">
        <f>PERCENTILE(D$4:D193,0.8)</f>
        <v>323.2709095296679</v>
      </c>
      <c r="F193" s="30">
        <f t="shared" si="10"/>
        <v>3033.888465624832</v>
      </c>
      <c r="G193" s="32">
        <f t="shared" si="11"/>
        <v>8372.8892275001344</v>
      </c>
    </row>
    <row r="194" spans="1:7" ht="15" customHeight="1" x14ac:dyDescent="0.3">
      <c r="A194" s="17">
        <v>192</v>
      </c>
      <c r="B194" s="17">
        <v>3010</v>
      </c>
      <c r="C194" s="23">
        <f t="shared" si="8"/>
        <v>2708.4940448761313</v>
      </c>
      <c r="D194" s="23">
        <f t="shared" si="9"/>
        <v>301.50595512386872</v>
      </c>
      <c r="E194" s="23">
        <f>PERCENTILE(D$4:D194,0.8)</f>
        <v>323.07449080114429</v>
      </c>
      <c r="F194" s="23">
        <f t="shared" si="10"/>
        <v>3031.5685356772756</v>
      </c>
      <c r="G194" s="26">
        <f t="shared" si="11"/>
        <v>9614.7451714581803</v>
      </c>
    </row>
    <row r="195" spans="1:7" ht="15" customHeight="1" x14ac:dyDescent="0.3">
      <c r="A195" s="17">
        <v>193</v>
      </c>
      <c r="B195" s="17">
        <v>3072</v>
      </c>
      <c r="C195" s="30">
        <f t="shared" si="8"/>
        <v>2768.795235900905</v>
      </c>
      <c r="D195" s="30">
        <f t="shared" si="9"/>
        <v>303.20476409909497</v>
      </c>
      <c r="E195" s="30">
        <f>PERCENTILE(D$4:D195,0.8)</f>
        <v>322.73287101627307</v>
      </c>
      <c r="F195" s="30">
        <f t="shared" si="10"/>
        <v>3091.5281069171779</v>
      </c>
      <c r="G195" s="32">
        <f t="shared" si="11"/>
        <v>9814.7775144662573</v>
      </c>
    </row>
    <row r="196" spans="1:7" ht="15" customHeight="1" x14ac:dyDescent="0.3">
      <c r="A196" s="17">
        <v>194</v>
      </c>
      <c r="B196" s="17">
        <v>2917</v>
      </c>
      <c r="C196" s="23">
        <f t="shared" ref="C196:C259" si="12">0.2*B195+0.8*C195</f>
        <v>2829.4361887207242</v>
      </c>
      <c r="D196" s="23">
        <f t="shared" ref="D196:D259" si="13">B196-C196</f>
        <v>87.563811279275797</v>
      </c>
      <c r="E196" s="23">
        <f>PERCENTILE(D$4:D196,0.8)</f>
        <v>322.39125123140178</v>
      </c>
      <c r="F196" s="23">
        <f t="shared" si="10"/>
        <v>3151.827439952126</v>
      </c>
      <c r="G196" s="26">
        <f t="shared" si="11"/>
        <v>9146.5380480382992</v>
      </c>
    </row>
    <row r="197" spans="1:7" ht="15" customHeight="1" x14ac:dyDescent="0.3">
      <c r="A197" s="17">
        <v>195</v>
      </c>
      <c r="B197" s="17">
        <v>2314</v>
      </c>
      <c r="C197" s="30">
        <f t="shared" si="12"/>
        <v>2846.9489509765795</v>
      </c>
      <c r="D197" s="30">
        <f t="shared" si="13"/>
        <v>-532.94895097657945</v>
      </c>
      <c r="E197" s="30">
        <f>PERCENTILE(D$4:D197,0.8)</f>
        <v>322.0496314465305</v>
      </c>
      <c r="F197" s="30">
        <f t="shared" ref="F197:F260" si="14">C197+E197</f>
        <v>3168.9985824231098</v>
      </c>
      <c r="G197" s="32">
        <f t="shared" ref="G197:G260" si="15">4*MIN(F197,B197)-0.8*F197</f>
        <v>6720.8011340615121</v>
      </c>
    </row>
    <row r="198" spans="1:7" ht="15" customHeight="1" x14ac:dyDescent="0.3">
      <c r="A198" s="17">
        <v>196</v>
      </c>
      <c r="B198" s="17">
        <v>2390</v>
      </c>
      <c r="C198" s="23">
        <f t="shared" si="12"/>
        <v>2740.3591607812637</v>
      </c>
      <c r="D198" s="23">
        <f t="shared" si="13"/>
        <v>-350.35916078126365</v>
      </c>
      <c r="E198" s="23">
        <f>PERCENTILE(D$4:D198,0.8)</f>
        <v>321.70801166165921</v>
      </c>
      <c r="F198" s="23">
        <f t="shared" si="14"/>
        <v>3062.067172442923</v>
      </c>
      <c r="G198" s="26">
        <f t="shared" si="15"/>
        <v>7110.3462620456612</v>
      </c>
    </row>
    <row r="199" spans="1:7" ht="15" customHeight="1" x14ac:dyDescent="0.3">
      <c r="A199" s="17">
        <v>197</v>
      </c>
      <c r="B199" s="17">
        <v>3217</v>
      </c>
      <c r="C199" s="30">
        <f t="shared" si="12"/>
        <v>2670.287328625011</v>
      </c>
      <c r="D199" s="30">
        <f t="shared" si="13"/>
        <v>546.71267137498899</v>
      </c>
      <c r="E199" s="30">
        <f>PERCENTILE(D$4:D199,0.8)</f>
        <v>323.07449080114429</v>
      </c>
      <c r="F199" s="30">
        <f t="shared" si="14"/>
        <v>2993.3618194261553</v>
      </c>
      <c r="G199" s="32">
        <f t="shared" si="15"/>
        <v>9578.7578221636977</v>
      </c>
    </row>
    <row r="200" spans="1:7" ht="15" customHeight="1" x14ac:dyDescent="0.3">
      <c r="A200" s="17">
        <v>198</v>
      </c>
      <c r="B200" s="17">
        <v>3030</v>
      </c>
      <c r="C200" s="23">
        <f t="shared" si="12"/>
        <v>2779.6298629000089</v>
      </c>
      <c r="D200" s="23">
        <f t="shared" si="13"/>
        <v>250.3701370999911</v>
      </c>
      <c r="E200" s="23">
        <f>PERCENTILE(D$4:D200,0.8)</f>
        <v>322.73287101627307</v>
      </c>
      <c r="F200" s="23">
        <f t="shared" si="14"/>
        <v>3102.3627339162822</v>
      </c>
      <c r="G200" s="26">
        <f t="shared" si="15"/>
        <v>9638.1098128669746</v>
      </c>
    </row>
    <row r="201" spans="1:7" ht="15" customHeight="1" x14ac:dyDescent="0.3">
      <c r="A201" s="17">
        <v>199</v>
      </c>
      <c r="B201" s="17">
        <v>3185</v>
      </c>
      <c r="C201" s="30">
        <f t="shared" si="12"/>
        <v>2829.7038903200073</v>
      </c>
      <c r="D201" s="30">
        <f t="shared" si="13"/>
        <v>355.2961096799927</v>
      </c>
      <c r="E201" s="30">
        <f>PERCENTILE(D$4:D201,0.8)</f>
        <v>323.66374698671518</v>
      </c>
      <c r="F201" s="30">
        <f t="shared" si="14"/>
        <v>3153.3676373067224</v>
      </c>
      <c r="G201" s="32">
        <f t="shared" si="15"/>
        <v>10090.776439381512</v>
      </c>
    </row>
    <row r="202" spans="1:7" ht="15" customHeight="1" x14ac:dyDescent="0.3">
      <c r="A202" s="17">
        <v>200</v>
      </c>
      <c r="B202" s="17">
        <v>2762</v>
      </c>
      <c r="C202" s="23">
        <f t="shared" si="12"/>
        <v>2900.763112256006</v>
      </c>
      <c r="D202" s="23">
        <f t="shared" si="13"/>
        <v>-138.76311225600602</v>
      </c>
      <c r="E202" s="23">
        <f>PERCENTILE(D$4:D202,0.8)</f>
        <v>323.46732825819151</v>
      </c>
      <c r="F202" s="23">
        <f t="shared" si="14"/>
        <v>3224.2304405141977</v>
      </c>
      <c r="G202" s="26">
        <f t="shared" si="15"/>
        <v>8468.6156475886419</v>
      </c>
    </row>
    <row r="203" spans="1:7" ht="15" customHeight="1" x14ac:dyDescent="0.3">
      <c r="A203" s="17">
        <v>201</v>
      </c>
      <c r="B203" s="17">
        <v>2510</v>
      </c>
      <c r="C203" s="30">
        <f t="shared" si="12"/>
        <v>2873.0104898048048</v>
      </c>
      <c r="D203" s="30">
        <f t="shared" si="13"/>
        <v>-363.01048980480482</v>
      </c>
      <c r="E203" s="30">
        <f>PERCENTILE(D$4:D203,0.8)</f>
        <v>323.2709095296679</v>
      </c>
      <c r="F203" s="30">
        <f t="shared" si="14"/>
        <v>3196.2813993344726</v>
      </c>
      <c r="G203" s="32">
        <f t="shared" si="15"/>
        <v>7482.9748805324216</v>
      </c>
    </row>
    <row r="204" spans="1:7" ht="15" customHeight="1" x14ac:dyDescent="0.3">
      <c r="A204" s="17">
        <v>202</v>
      </c>
      <c r="B204" s="17">
        <v>3137</v>
      </c>
      <c r="C204" s="23">
        <f t="shared" si="12"/>
        <v>2800.4083918438441</v>
      </c>
      <c r="D204" s="23">
        <f t="shared" si="13"/>
        <v>336.59160815615587</v>
      </c>
      <c r="E204" s="23">
        <f>PERCENTILE(D$4:D204,0.8)</f>
        <v>324.0565844437624</v>
      </c>
      <c r="F204" s="23">
        <f t="shared" si="14"/>
        <v>3124.4649762876065</v>
      </c>
      <c r="G204" s="26">
        <f t="shared" si="15"/>
        <v>9998.2879241203409</v>
      </c>
    </row>
    <row r="205" spans="1:7" ht="15" customHeight="1" x14ac:dyDescent="0.3">
      <c r="A205" s="17">
        <v>203</v>
      </c>
      <c r="B205" s="17">
        <v>2437</v>
      </c>
      <c r="C205" s="30">
        <f t="shared" si="12"/>
        <v>2867.7267134750755</v>
      </c>
      <c r="D205" s="30">
        <f t="shared" si="13"/>
        <v>-430.72671347507548</v>
      </c>
      <c r="E205" s="30">
        <f>PERCENTILE(D$4:D205,0.8)</f>
        <v>323.86016571523879</v>
      </c>
      <c r="F205" s="30">
        <f t="shared" si="14"/>
        <v>3191.5868791903144</v>
      </c>
      <c r="G205" s="32">
        <f t="shared" si="15"/>
        <v>7194.7304966477477</v>
      </c>
    </row>
    <row r="206" spans="1:7" ht="15" customHeight="1" x14ac:dyDescent="0.3">
      <c r="A206" s="17">
        <v>204</v>
      </c>
      <c r="B206" s="17">
        <v>3239</v>
      </c>
      <c r="C206" s="23">
        <f t="shared" si="12"/>
        <v>2781.5813707800608</v>
      </c>
      <c r="D206" s="23">
        <f t="shared" si="13"/>
        <v>457.41862921993925</v>
      </c>
      <c r="E206" s="23">
        <f>PERCENTILE(D$4:D206,0.8)</f>
        <v>328.12931975420656</v>
      </c>
      <c r="F206" s="23">
        <f t="shared" si="14"/>
        <v>3109.7106905342671</v>
      </c>
      <c r="G206" s="26">
        <f t="shared" si="15"/>
        <v>9951.0742097096554</v>
      </c>
    </row>
    <row r="207" spans="1:7" ht="15" customHeight="1" x14ac:dyDescent="0.3">
      <c r="A207" s="17">
        <v>205</v>
      </c>
      <c r="B207" s="17">
        <v>3126</v>
      </c>
      <c r="C207" s="30">
        <f t="shared" si="12"/>
        <v>2873.0650966240487</v>
      </c>
      <c r="D207" s="30">
        <f t="shared" si="13"/>
        <v>252.93490337595131</v>
      </c>
      <c r="E207" s="30">
        <f>PERCENTILE(D$4:D207,0.8)</f>
        <v>326.77174131739179</v>
      </c>
      <c r="F207" s="30">
        <f t="shared" si="14"/>
        <v>3199.8368379414405</v>
      </c>
      <c r="G207" s="32">
        <f t="shared" si="15"/>
        <v>9944.1305296468472</v>
      </c>
    </row>
    <row r="208" spans="1:7" ht="15" customHeight="1" x14ac:dyDescent="0.3">
      <c r="A208" s="17">
        <v>206</v>
      </c>
      <c r="B208" s="17">
        <v>2674</v>
      </c>
      <c r="C208" s="23">
        <f t="shared" si="12"/>
        <v>2923.652077299239</v>
      </c>
      <c r="D208" s="23">
        <f t="shared" si="13"/>
        <v>-249.65207729923895</v>
      </c>
      <c r="E208" s="23">
        <f>PERCENTILE(D$4:D208,0.8)</f>
        <v>325.41416288057718</v>
      </c>
      <c r="F208" s="23">
        <f t="shared" si="14"/>
        <v>3249.0662401798163</v>
      </c>
      <c r="G208" s="26">
        <f t="shared" si="15"/>
        <v>8096.7470078561473</v>
      </c>
    </row>
    <row r="209" spans="1:7" ht="15" customHeight="1" x14ac:dyDescent="0.3">
      <c r="A209" s="17">
        <v>207</v>
      </c>
      <c r="B209" s="17">
        <v>2630</v>
      </c>
      <c r="C209" s="30">
        <f t="shared" si="12"/>
        <v>2873.7216618393913</v>
      </c>
      <c r="D209" s="30">
        <f t="shared" si="13"/>
        <v>-243.72166183939134</v>
      </c>
      <c r="E209" s="30">
        <f>PERCENTILE(D$4:D209,0.8)</f>
        <v>324.0565844437624</v>
      </c>
      <c r="F209" s="30">
        <f t="shared" si="14"/>
        <v>3197.7782462831537</v>
      </c>
      <c r="G209" s="32">
        <f t="shared" si="15"/>
        <v>7961.7774029734774</v>
      </c>
    </row>
    <row r="210" spans="1:7" ht="15" customHeight="1" x14ac:dyDescent="0.3">
      <c r="A210" s="17">
        <v>208</v>
      </c>
      <c r="B210" s="17">
        <v>2966</v>
      </c>
      <c r="C210" s="23">
        <f t="shared" si="12"/>
        <v>2824.9773294715133</v>
      </c>
      <c r="D210" s="23">
        <f t="shared" si="13"/>
        <v>141.02267052848674</v>
      </c>
      <c r="E210" s="23">
        <f>PERCENTILE(D$4:D210,0.8)</f>
        <v>323.86016571523879</v>
      </c>
      <c r="F210" s="23">
        <f t="shared" si="14"/>
        <v>3148.8374951867522</v>
      </c>
      <c r="G210" s="26">
        <f t="shared" si="15"/>
        <v>9344.9300038505971</v>
      </c>
    </row>
    <row r="211" spans="1:7" ht="15" customHeight="1" x14ac:dyDescent="0.3">
      <c r="A211" s="17">
        <v>209</v>
      </c>
      <c r="B211" s="17">
        <v>2675</v>
      </c>
      <c r="C211" s="30">
        <f t="shared" si="12"/>
        <v>2853.1818635772106</v>
      </c>
      <c r="D211" s="30">
        <f t="shared" si="13"/>
        <v>-178.18186357721061</v>
      </c>
      <c r="E211" s="30">
        <f>PERCENTILE(D$4:D211,0.8)</f>
        <v>323.66374698671518</v>
      </c>
      <c r="F211" s="30">
        <f t="shared" si="14"/>
        <v>3176.8456105639257</v>
      </c>
      <c r="G211" s="32">
        <f t="shared" si="15"/>
        <v>8158.5235115488595</v>
      </c>
    </row>
    <row r="212" spans="1:7" ht="15" customHeight="1" x14ac:dyDescent="0.3">
      <c r="A212" s="17">
        <v>210</v>
      </c>
      <c r="B212" s="17">
        <v>3149</v>
      </c>
      <c r="C212" s="23">
        <f t="shared" si="12"/>
        <v>2817.5454908617685</v>
      </c>
      <c r="D212" s="23">
        <f t="shared" si="13"/>
        <v>331.45450913823151</v>
      </c>
      <c r="E212" s="23">
        <f>PERCENTILE(D$4:D212,0.8)</f>
        <v>326.77174131739179</v>
      </c>
      <c r="F212" s="23">
        <f t="shared" si="14"/>
        <v>3144.3172321791603</v>
      </c>
      <c r="G212" s="26">
        <f t="shared" si="15"/>
        <v>10061.815142973313</v>
      </c>
    </row>
    <row r="213" spans="1:7" ht="15" customHeight="1" x14ac:dyDescent="0.3">
      <c r="A213" s="17">
        <v>211</v>
      </c>
      <c r="B213" s="17">
        <v>2362</v>
      </c>
      <c r="C213" s="30">
        <f t="shared" si="12"/>
        <v>2883.8363926894149</v>
      </c>
      <c r="D213" s="30">
        <f t="shared" si="13"/>
        <v>-521.83639268941488</v>
      </c>
      <c r="E213" s="30">
        <f>PERCENTILE(D$4:D213,0.8)</f>
        <v>325.41416288057718</v>
      </c>
      <c r="F213" s="30">
        <f t="shared" si="14"/>
        <v>3209.2505555699922</v>
      </c>
      <c r="G213" s="32">
        <f t="shared" si="15"/>
        <v>6880.5995555440059</v>
      </c>
    </row>
    <row r="214" spans="1:7" ht="15" customHeight="1" x14ac:dyDescent="0.3">
      <c r="A214" s="17">
        <v>212</v>
      </c>
      <c r="B214" s="17">
        <v>2624</v>
      </c>
      <c r="C214" s="23">
        <f t="shared" si="12"/>
        <v>2779.4691141515323</v>
      </c>
      <c r="D214" s="23">
        <f t="shared" si="13"/>
        <v>-155.46911415153227</v>
      </c>
      <c r="E214" s="23">
        <f>PERCENTILE(D$4:D214,0.8)</f>
        <v>324.0565844437624</v>
      </c>
      <c r="F214" s="23">
        <f t="shared" si="14"/>
        <v>3103.5256985952947</v>
      </c>
      <c r="G214" s="26">
        <f t="shared" si="15"/>
        <v>8013.1794411237643</v>
      </c>
    </row>
    <row r="215" spans="1:7" ht="15" customHeight="1" x14ac:dyDescent="0.3">
      <c r="A215" s="17">
        <v>213</v>
      </c>
      <c r="B215" s="17">
        <v>2384</v>
      </c>
      <c r="C215" s="30">
        <f t="shared" si="12"/>
        <v>2748.3752913212261</v>
      </c>
      <c r="D215" s="30">
        <f t="shared" si="13"/>
        <v>-364.37529132122609</v>
      </c>
      <c r="E215" s="30">
        <f>PERCENTILE(D$4:D215,0.8)</f>
        <v>323.86016571523879</v>
      </c>
      <c r="F215" s="30">
        <f t="shared" si="14"/>
        <v>3072.235457036465</v>
      </c>
      <c r="G215" s="32">
        <f t="shared" si="15"/>
        <v>7078.2116343708276</v>
      </c>
    </row>
    <row r="216" spans="1:7" ht="15" customHeight="1" x14ac:dyDescent="0.3">
      <c r="A216" s="17">
        <v>214</v>
      </c>
      <c r="B216" s="17">
        <v>3201</v>
      </c>
      <c r="C216" s="23">
        <f t="shared" si="12"/>
        <v>2675.500233056981</v>
      </c>
      <c r="D216" s="23">
        <f t="shared" si="13"/>
        <v>525.49976694301904</v>
      </c>
      <c r="E216" s="23">
        <f>PERCENTILE(D$4:D216,0.8)</f>
        <v>328.12931975420656</v>
      </c>
      <c r="F216" s="23">
        <f t="shared" si="14"/>
        <v>3003.6295528111878</v>
      </c>
      <c r="G216" s="26">
        <f t="shared" si="15"/>
        <v>9611.6145689958012</v>
      </c>
    </row>
    <row r="217" spans="1:7" ht="15" customHeight="1" x14ac:dyDescent="0.3">
      <c r="A217" s="17">
        <v>215</v>
      </c>
      <c r="B217" s="17">
        <v>2522</v>
      </c>
      <c r="C217" s="30">
        <f t="shared" si="12"/>
        <v>2780.6001864455848</v>
      </c>
      <c r="D217" s="30">
        <f t="shared" si="13"/>
        <v>-258.60018644558477</v>
      </c>
      <c r="E217" s="30">
        <f>PERCENTILE(D$4:D217,0.8)</f>
        <v>326.77174131739179</v>
      </c>
      <c r="F217" s="30">
        <f t="shared" si="14"/>
        <v>3107.3719277629766</v>
      </c>
      <c r="G217" s="32">
        <f t="shared" si="15"/>
        <v>7602.1024577896187</v>
      </c>
    </row>
    <row r="218" spans="1:7" ht="15" customHeight="1" x14ac:dyDescent="0.3">
      <c r="A218" s="17">
        <v>216</v>
      </c>
      <c r="B218" s="17">
        <v>2435</v>
      </c>
      <c r="C218" s="23">
        <f t="shared" si="12"/>
        <v>2728.8801491564682</v>
      </c>
      <c r="D218" s="23">
        <f t="shared" si="13"/>
        <v>-293.88014915646818</v>
      </c>
      <c r="E218" s="23">
        <f>PERCENTILE(D$4:D218,0.8)</f>
        <v>325.41416288057718</v>
      </c>
      <c r="F218" s="23">
        <f t="shared" si="14"/>
        <v>3054.2943120370455</v>
      </c>
      <c r="G218" s="26">
        <f t="shared" si="15"/>
        <v>7296.5645503703636</v>
      </c>
    </row>
    <row r="219" spans="1:7" ht="15" customHeight="1" x14ac:dyDescent="0.3">
      <c r="A219" s="17">
        <v>217</v>
      </c>
      <c r="B219" s="17">
        <v>3241</v>
      </c>
      <c r="C219" s="30">
        <f t="shared" si="12"/>
        <v>2670.1041193251745</v>
      </c>
      <c r="D219" s="30">
        <f t="shared" si="13"/>
        <v>570.89588067482555</v>
      </c>
      <c r="E219" s="30">
        <f>PERCENTILE(D$4:D219,0.8)</f>
        <v>330.84447662783577</v>
      </c>
      <c r="F219" s="30">
        <f t="shared" si="14"/>
        <v>3000.9485959530102</v>
      </c>
      <c r="G219" s="32">
        <f t="shared" si="15"/>
        <v>9603.0355070496335</v>
      </c>
    </row>
    <row r="220" spans="1:7" ht="15" customHeight="1" x14ac:dyDescent="0.3">
      <c r="A220" s="17">
        <v>218</v>
      </c>
      <c r="B220" s="17">
        <v>2987</v>
      </c>
      <c r="C220" s="23">
        <f t="shared" si="12"/>
        <v>2784.2832954601399</v>
      </c>
      <c r="D220" s="23">
        <f t="shared" si="13"/>
        <v>202.71670453986007</v>
      </c>
      <c r="E220" s="23">
        <f>PERCENTILE(D$4:D220,0.8)</f>
        <v>329.48689819102117</v>
      </c>
      <c r="F220" s="23">
        <f t="shared" si="14"/>
        <v>3113.7701936511612</v>
      </c>
      <c r="G220" s="26">
        <f t="shared" si="15"/>
        <v>9456.9838450790703</v>
      </c>
    </row>
    <row r="221" spans="1:7" ht="15" customHeight="1" x14ac:dyDescent="0.3">
      <c r="A221" s="17">
        <v>219</v>
      </c>
      <c r="B221" s="17">
        <v>3140</v>
      </c>
      <c r="C221" s="30">
        <f t="shared" si="12"/>
        <v>2824.8266363681123</v>
      </c>
      <c r="D221" s="30">
        <f t="shared" si="13"/>
        <v>315.1733636318877</v>
      </c>
      <c r="E221" s="30">
        <f>PERCENTILE(D$4:D221,0.8)</f>
        <v>328.12931975420656</v>
      </c>
      <c r="F221" s="30">
        <f t="shared" si="14"/>
        <v>3152.9559561223186</v>
      </c>
      <c r="G221" s="32">
        <f t="shared" si="15"/>
        <v>10037.635235102145</v>
      </c>
    </row>
    <row r="222" spans="1:7" ht="15" customHeight="1" x14ac:dyDescent="0.3">
      <c r="A222" s="17">
        <v>220</v>
      </c>
      <c r="B222" s="17">
        <v>3360</v>
      </c>
      <c r="C222" s="23">
        <f t="shared" si="12"/>
        <v>2887.86130909449</v>
      </c>
      <c r="D222" s="23">
        <f t="shared" si="13"/>
        <v>472.13869090550997</v>
      </c>
      <c r="E222" s="23">
        <f>PERCENTILE(D$4:D222,0.8)</f>
        <v>331.08848963199409</v>
      </c>
      <c r="F222" s="23">
        <f t="shared" si="14"/>
        <v>3218.949798726484</v>
      </c>
      <c r="G222" s="26">
        <f t="shared" si="15"/>
        <v>10300.639355924748</v>
      </c>
    </row>
    <row r="223" spans="1:7" ht="15" customHeight="1" x14ac:dyDescent="0.3">
      <c r="A223" s="17">
        <v>221</v>
      </c>
      <c r="B223" s="17">
        <v>3351</v>
      </c>
      <c r="C223" s="30">
        <f t="shared" si="12"/>
        <v>2982.2890472755921</v>
      </c>
      <c r="D223" s="30">
        <f t="shared" si="13"/>
        <v>368.71095272440789</v>
      </c>
      <c r="E223" s="30">
        <f>PERCENTILE(D$4:D223,0.8)</f>
        <v>331.52139024264562</v>
      </c>
      <c r="F223" s="30">
        <f t="shared" si="14"/>
        <v>3313.8104375182379</v>
      </c>
      <c r="G223" s="32">
        <f t="shared" si="15"/>
        <v>10604.193400058361</v>
      </c>
    </row>
    <row r="224" spans="1:7" ht="15" customHeight="1" x14ac:dyDescent="0.3">
      <c r="A224" s="17">
        <v>222</v>
      </c>
      <c r="B224" s="17">
        <v>2503</v>
      </c>
      <c r="C224" s="23">
        <f t="shared" si="12"/>
        <v>3056.0312378204735</v>
      </c>
      <c r="D224" s="23">
        <f t="shared" si="13"/>
        <v>-553.03123782047351</v>
      </c>
      <c r="E224" s="23">
        <f>PERCENTILE(D$4:D224,0.8)</f>
        <v>331.45450913823151</v>
      </c>
      <c r="F224" s="23">
        <f t="shared" si="14"/>
        <v>3387.485746958705</v>
      </c>
      <c r="G224" s="26">
        <f t="shared" si="15"/>
        <v>7302.011402433036</v>
      </c>
    </row>
    <row r="225" spans="1:7" ht="15" customHeight="1" x14ac:dyDescent="0.3">
      <c r="A225" s="17">
        <v>223</v>
      </c>
      <c r="B225" s="17">
        <v>2573</v>
      </c>
      <c r="C225" s="30">
        <f t="shared" si="12"/>
        <v>2945.4249902563788</v>
      </c>
      <c r="D225" s="30">
        <f t="shared" si="13"/>
        <v>-372.42499025637881</v>
      </c>
      <c r="E225" s="30">
        <f>PERCENTILE(D$4:D225,0.8)</f>
        <v>331.33250263615236</v>
      </c>
      <c r="F225" s="30">
        <f t="shared" si="14"/>
        <v>3276.757492892531</v>
      </c>
      <c r="G225" s="32">
        <f t="shared" si="15"/>
        <v>7670.5940056859745</v>
      </c>
    </row>
    <row r="226" spans="1:7" ht="15" customHeight="1" x14ac:dyDescent="0.3">
      <c r="A226" s="17">
        <v>224</v>
      </c>
      <c r="B226" s="17">
        <v>2785</v>
      </c>
      <c r="C226" s="23">
        <f t="shared" si="12"/>
        <v>2870.939992205103</v>
      </c>
      <c r="D226" s="23">
        <f t="shared" si="13"/>
        <v>-85.939992205102953</v>
      </c>
      <c r="E226" s="23">
        <f>PERCENTILE(D$4:D226,0.8)</f>
        <v>331.21049613407325</v>
      </c>
      <c r="F226" s="23">
        <f t="shared" si="14"/>
        <v>3202.1504883391763</v>
      </c>
      <c r="G226" s="26">
        <f t="shared" si="15"/>
        <v>8578.2796093286597</v>
      </c>
    </row>
    <row r="227" spans="1:7" ht="15" customHeight="1" x14ac:dyDescent="0.3">
      <c r="A227" s="17">
        <v>225</v>
      </c>
      <c r="B227" s="17">
        <v>2520</v>
      </c>
      <c r="C227" s="30">
        <f t="shared" si="12"/>
        <v>2853.7519937640823</v>
      </c>
      <c r="D227" s="30">
        <f t="shared" si="13"/>
        <v>-333.75199376408227</v>
      </c>
      <c r="E227" s="30">
        <f>PERCENTILE(D$4:D227,0.8)</f>
        <v>331.08848963199409</v>
      </c>
      <c r="F227" s="30">
        <f t="shared" si="14"/>
        <v>3184.8404833960763</v>
      </c>
      <c r="G227" s="32">
        <f t="shared" si="15"/>
        <v>7532.127613283139</v>
      </c>
    </row>
    <row r="228" spans="1:7" ht="15" customHeight="1" x14ac:dyDescent="0.3">
      <c r="A228" s="17">
        <v>226</v>
      </c>
      <c r="B228" s="17">
        <v>2412</v>
      </c>
      <c r="C228" s="23">
        <f t="shared" si="12"/>
        <v>2787.0015950112661</v>
      </c>
      <c r="D228" s="23">
        <f t="shared" si="13"/>
        <v>-375.00159501126609</v>
      </c>
      <c r="E228" s="23">
        <f>PERCENTILE(D$4:D228,0.8)</f>
        <v>330.96648312991493</v>
      </c>
      <c r="F228" s="23">
        <f t="shared" si="14"/>
        <v>3117.9680781411812</v>
      </c>
      <c r="G228" s="26">
        <f t="shared" si="15"/>
        <v>7153.6255374870543</v>
      </c>
    </row>
    <row r="229" spans="1:7" ht="15" customHeight="1" x14ac:dyDescent="0.3">
      <c r="A229" s="17">
        <v>227</v>
      </c>
      <c r="B229" s="17">
        <v>2933</v>
      </c>
      <c r="C229" s="30">
        <f t="shared" si="12"/>
        <v>2712.0012760090131</v>
      </c>
      <c r="D229" s="30">
        <f t="shared" si="13"/>
        <v>220.99872399098695</v>
      </c>
      <c r="E229" s="30">
        <f>PERCENTILE(D$4:D229,0.8)</f>
        <v>330.84447662783577</v>
      </c>
      <c r="F229" s="30">
        <f t="shared" si="14"/>
        <v>3042.8457526368488</v>
      </c>
      <c r="G229" s="32">
        <f t="shared" si="15"/>
        <v>9297.7233978905206</v>
      </c>
    </row>
    <row r="230" spans="1:7" ht="15" customHeight="1" x14ac:dyDescent="0.3">
      <c r="A230" s="17">
        <v>228</v>
      </c>
      <c r="B230" s="17">
        <v>2535</v>
      </c>
      <c r="C230" s="23">
        <f t="shared" si="12"/>
        <v>2756.2010208072106</v>
      </c>
      <c r="D230" s="23">
        <f t="shared" si="13"/>
        <v>-221.20102080721063</v>
      </c>
      <c r="E230" s="23">
        <f>PERCENTILE(D$4:D230,0.8)</f>
        <v>329.48689819102117</v>
      </c>
      <c r="F230" s="23">
        <f t="shared" si="14"/>
        <v>3085.6879189982319</v>
      </c>
      <c r="G230" s="26">
        <f t="shared" si="15"/>
        <v>7671.4496648014137</v>
      </c>
    </row>
    <row r="231" spans="1:7" ht="15" customHeight="1" x14ac:dyDescent="0.3">
      <c r="A231" s="17">
        <v>229</v>
      </c>
      <c r="B231" s="17">
        <v>3029</v>
      </c>
      <c r="C231" s="30">
        <f t="shared" si="12"/>
        <v>2711.9608166457688</v>
      </c>
      <c r="D231" s="30">
        <f t="shared" si="13"/>
        <v>317.03918335423123</v>
      </c>
      <c r="E231" s="30">
        <f>PERCENTILE(D$4:D231,0.8)</f>
        <v>328.12931975420656</v>
      </c>
      <c r="F231" s="30">
        <f t="shared" si="14"/>
        <v>3040.0901363999756</v>
      </c>
      <c r="G231" s="32">
        <f t="shared" si="15"/>
        <v>9683.9278908800188</v>
      </c>
    </row>
    <row r="232" spans="1:7" ht="15" customHeight="1" x14ac:dyDescent="0.3">
      <c r="A232" s="17">
        <v>230</v>
      </c>
      <c r="B232" s="17">
        <v>3114</v>
      </c>
      <c r="C232" s="23">
        <f t="shared" si="12"/>
        <v>2775.3686533166151</v>
      </c>
      <c r="D232" s="23">
        <f t="shared" si="13"/>
        <v>338.63134668338489</v>
      </c>
      <c r="E232" s="23">
        <f>PERCENTILE(D$4:D232,0.8)</f>
        <v>331.08848963199409</v>
      </c>
      <c r="F232" s="23">
        <f t="shared" si="14"/>
        <v>3106.4571429486091</v>
      </c>
      <c r="G232" s="26">
        <f t="shared" si="15"/>
        <v>9940.6628574355491</v>
      </c>
    </row>
    <row r="233" spans="1:7" ht="15" customHeight="1" x14ac:dyDescent="0.3">
      <c r="A233" s="17">
        <v>231</v>
      </c>
      <c r="B233" s="17">
        <v>3007</v>
      </c>
      <c r="C233" s="30">
        <f t="shared" si="12"/>
        <v>2843.0949226532925</v>
      </c>
      <c r="D233" s="30">
        <f t="shared" si="13"/>
        <v>163.90507734670746</v>
      </c>
      <c r="E233" s="30">
        <f>PERCENTILE(D$4:D233,0.8)</f>
        <v>330.96648312991493</v>
      </c>
      <c r="F233" s="30">
        <f t="shared" si="14"/>
        <v>3174.0614057832076</v>
      </c>
      <c r="G233" s="32">
        <f t="shared" si="15"/>
        <v>9488.7508753734328</v>
      </c>
    </row>
    <row r="234" spans="1:7" ht="15" customHeight="1" x14ac:dyDescent="0.3">
      <c r="A234" s="17">
        <v>232</v>
      </c>
      <c r="B234" s="17">
        <v>3033</v>
      </c>
      <c r="C234" s="23">
        <f t="shared" si="12"/>
        <v>2875.8759381226341</v>
      </c>
      <c r="D234" s="23">
        <f t="shared" si="13"/>
        <v>157.12406187736588</v>
      </c>
      <c r="E234" s="23">
        <f>PERCENTILE(D$4:D234,0.8)</f>
        <v>330.84447662783577</v>
      </c>
      <c r="F234" s="23">
        <f t="shared" si="14"/>
        <v>3206.7204147504699</v>
      </c>
      <c r="G234" s="26">
        <f t="shared" si="15"/>
        <v>9566.6236681996234</v>
      </c>
    </row>
    <row r="235" spans="1:7" ht="15" customHeight="1" x14ac:dyDescent="0.3">
      <c r="A235" s="17">
        <v>233</v>
      </c>
      <c r="B235" s="17">
        <v>2757</v>
      </c>
      <c r="C235" s="30">
        <f t="shared" si="12"/>
        <v>2907.3007504981074</v>
      </c>
      <c r="D235" s="30">
        <f t="shared" si="13"/>
        <v>-150.30075049810739</v>
      </c>
      <c r="E235" s="30">
        <f>PERCENTILE(D$4:D235,0.8)</f>
        <v>329.48689819102117</v>
      </c>
      <c r="F235" s="30">
        <f t="shared" si="14"/>
        <v>3236.7876486891287</v>
      </c>
      <c r="G235" s="32">
        <f t="shared" si="15"/>
        <v>8438.5698810486974</v>
      </c>
    </row>
    <row r="236" spans="1:7" ht="15" customHeight="1" x14ac:dyDescent="0.3">
      <c r="A236" s="17">
        <v>234</v>
      </c>
      <c r="B236" s="17">
        <v>2514</v>
      </c>
      <c r="C236" s="23">
        <f t="shared" si="12"/>
        <v>2877.2406003984861</v>
      </c>
      <c r="D236" s="23">
        <f t="shared" si="13"/>
        <v>-363.24060039848609</v>
      </c>
      <c r="E236" s="23">
        <f>PERCENTILE(D$4:D236,0.8)</f>
        <v>328.12931975420656</v>
      </c>
      <c r="F236" s="23">
        <f t="shared" si="14"/>
        <v>3205.3699201526924</v>
      </c>
      <c r="G236" s="26">
        <f t="shared" si="15"/>
        <v>7491.7040638778453</v>
      </c>
    </row>
    <row r="237" spans="1:7" ht="15" customHeight="1" x14ac:dyDescent="0.3">
      <c r="A237" s="17">
        <v>235</v>
      </c>
      <c r="B237" s="17">
        <v>2651</v>
      </c>
      <c r="C237" s="30">
        <f t="shared" si="12"/>
        <v>2804.5924803187891</v>
      </c>
      <c r="D237" s="30">
        <f t="shared" si="13"/>
        <v>-153.59248031878906</v>
      </c>
      <c r="E237" s="30">
        <f>PERCENTILE(D$4:D237,0.8)</f>
        <v>326.77174131739179</v>
      </c>
      <c r="F237" s="30">
        <f t="shared" si="14"/>
        <v>3131.3642216361809</v>
      </c>
      <c r="G237" s="32">
        <f t="shared" si="15"/>
        <v>8098.9086226910549</v>
      </c>
    </row>
    <row r="238" spans="1:7" ht="15" customHeight="1" x14ac:dyDescent="0.3">
      <c r="A238" s="17">
        <v>236</v>
      </c>
      <c r="B238" s="17">
        <v>2995</v>
      </c>
      <c r="C238" s="23">
        <f t="shared" si="12"/>
        <v>2773.8739842550312</v>
      </c>
      <c r="D238" s="23">
        <f t="shared" si="13"/>
        <v>221.12601574496875</v>
      </c>
      <c r="E238" s="23">
        <f>PERCENTILE(D$4:D238,0.8)</f>
        <v>325.41416288057718</v>
      </c>
      <c r="F238" s="23">
        <f t="shared" si="14"/>
        <v>3099.2881471356086</v>
      </c>
      <c r="G238" s="26">
        <f t="shared" si="15"/>
        <v>9500.5694822915139</v>
      </c>
    </row>
    <row r="239" spans="1:7" ht="15" customHeight="1" x14ac:dyDescent="0.3">
      <c r="A239" s="17">
        <v>237</v>
      </c>
      <c r="B239" s="17">
        <v>3408</v>
      </c>
      <c r="C239" s="30">
        <f t="shared" si="12"/>
        <v>2818.0991874040251</v>
      </c>
      <c r="D239" s="30">
        <f t="shared" si="13"/>
        <v>589.90081259597491</v>
      </c>
      <c r="E239" s="30">
        <f>PERCENTILE(D$4:D239,0.8)</f>
        <v>330.84447662783577</v>
      </c>
      <c r="F239" s="30">
        <f t="shared" si="14"/>
        <v>3148.9436640318609</v>
      </c>
      <c r="G239" s="32">
        <f t="shared" si="15"/>
        <v>10076.619724901955</v>
      </c>
    </row>
    <row r="240" spans="1:7" ht="15" customHeight="1" x14ac:dyDescent="0.3">
      <c r="A240" s="17">
        <v>238</v>
      </c>
      <c r="B240" s="17">
        <v>3006</v>
      </c>
      <c r="C240" s="23">
        <f t="shared" si="12"/>
        <v>2936.07934992322</v>
      </c>
      <c r="D240" s="23">
        <f t="shared" si="13"/>
        <v>69.920650076780021</v>
      </c>
      <c r="E240" s="23">
        <f>PERCENTILE(D$4:D240,0.8)</f>
        <v>329.48689819102117</v>
      </c>
      <c r="F240" s="23">
        <f t="shared" si="14"/>
        <v>3265.5662481142413</v>
      </c>
      <c r="G240" s="26">
        <f t="shared" si="15"/>
        <v>9411.5470015086066</v>
      </c>
    </row>
    <row r="241" spans="1:7" ht="15" customHeight="1" x14ac:dyDescent="0.3">
      <c r="A241" s="17">
        <v>239</v>
      </c>
      <c r="B241" s="17">
        <v>2874</v>
      </c>
      <c r="C241" s="30">
        <f t="shared" si="12"/>
        <v>2950.0634799385762</v>
      </c>
      <c r="D241" s="30">
        <f t="shared" si="13"/>
        <v>-76.063479938576165</v>
      </c>
      <c r="E241" s="30">
        <f>PERCENTILE(D$4:D241,0.8)</f>
        <v>328.12931975420656</v>
      </c>
      <c r="F241" s="30">
        <f t="shared" si="14"/>
        <v>3278.1927996927825</v>
      </c>
      <c r="G241" s="32">
        <f t="shared" si="15"/>
        <v>8873.4457602457733</v>
      </c>
    </row>
    <row r="242" spans="1:7" ht="15" customHeight="1" x14ac:dyDescent="0.3">
      <c r="A242" s="17">
        <v>240</v>
      </c>
      <c r="B242" s="17">
        <v>2777</v>
      </c>
      <c r="C242" s="23">
        <f t="shared" si="12"/>
        <v>2934.8507839508611</v>
      </c>
      <c r="D242" s="23">
        <f t="shared" si="13"/>
        <v>-157.85078395086111</v>
      </c>
      <c r="E242" s="23">
        <f>PERCENTILE(D$4:D242,0.8)</f>
        <v>326.77174131739179</v>
      </c>
      <c r="F242" s="23">
        <f t="shared" si="14"/>
        <v>3261.622525268253</v>
      </c>
      <c r="G242" s="26">
        <f t="shared" si="15"/>
        <v>8498.7019797853973</v>
      </c>
    </row>
    <row r="243" spans="1:7" ht="15" customHeight="1" x14ac:dyDescent="0.3">
      <c r="A243" s="17">
        <v>241</v>
      </c>
      <c r="B243" s="17">
        <v>2529</v>
      </c>
      <c r="C243" s="30">
        <f t="shared" si="12"/>
        <v>2903.2806271606892</v>
      </c>
      <c r="D243" s="30">
        <f t="shared" si="13"/>
        <v>-374.28062716068916</v>
      </c>
      <c r="E243" s="30">
        <f>PERCENTILE(D$4:D243,0.8)</f>
        <v>325.41416288057718</v>
      </c>
      <c r="F243" s="30">
        <f t="shared" si="14"/>
        <v>3228.6947900412665</v>
      </c>
      <c r="G243" s="32">
        <f t="shared" si="15"/>
        <v>7533.0441679669866</v>
      </c>
    </row>
    <row r="244" spans="1:7" ht="15" customHeight="1" x14ac:dyDescent="0.3">
      <c r="A244" s="17">
        <v>242</v>
      </c>
      <c r="B244" s="17">
        <v>2500</v>
      </c>
      <c r="C244" s="23">
        <f t="shared" si="12"/>
        <v>2828.4245017285516</v>
      </c>
      <c r="D244" s="23">
        <f t="shared" si="13"/>
        <v>-328.4245017285516</v>
      </c>
      <c r="E244" s="23">
        <f>PERCENTILE(D$4:D244,0.8)</f>
        <v>324.0565844437624</v>
      </c>
      <c r="F244" s="23">
        <f t="shared" si="14"/>
        <v>3152.481086172314</v>
      </c>
      <c r="G244" s="26">
        <f t="shared" si="15"/>
        <v>7478.0151310621486</v>
      </c>
    </row>
    <row r="245" spans="1:7" ht="15" customHeight="1" x14ac:dyDescent="0.3">
      <c r="A245" s="17">
        <v>243</v>
      </c>
      <c r="B245" s="17">
        <v>3246</v>
      </c>
      <c r="C245" s="30">
        <f t="shared" si="12"/>
        <v>2762.7396013828416</v>
      </c>
      <c r="D245" s="30">
        <f t="shared" si="13"/>
        <v>483.26039861715844</v>
      </c>
      <c r="E245" s="30">
        <f>PERCENTILE(D$4:D245,0.8)</f>
        <v>329.48689819102117</v>
      </c>
      <c r="F245" s="30">
        <f t="shared" si="14"/>
        <v>3092.2264995738628</v>
      </c>
      <c r="G245" s="32">
        <f t="shared" si="15"/>
        <v>9895.1247986363614</v>
      </c>
    </row>
    <row r="246" spans="1:7" ht="15" customHeight="1" x14ac:dyDescent="0.3">
      <c r="A246" s="17">
        <v>244</v>
      </c>
      <c r="B246" s="17">
        <v>2938</v>
      </c>
      <c r="C246" s="23">
        <f t="shared" si="12"/>
        <v>2859.3916811062736</v>
      </c>
      <c r="D246" s="23">
        <f t="shared" si="13"/>
        <v>78.608318893726391</v>
      </c>
      <c r="E246" s="23">
        <f>PERCENTILE(D$4:D246,0.8)</f>
        <v>328.12931975420656</v>
      </c>
      <c r="F246" s="23">
        <f t="shared" si="14"/>
        <v>3187.5210008604799</v>
      </c>
      <c r="G246" s="26">
        <f t="shared" si="15"/>
        <v>9201.9831993116168</v>
      </c>
    </row>
    <row r="247" spans="1:7" ht="15" customHeight="1" x14ac:dyDescent="0.3">
      <c r="A247" s="17">
        <v>245</v>
      </c>
      <c r="B247" s="17">
        <v>3353</v>
      </c>
      <c r="C247" s="30">
        <f t="shared" si="12"/>
        <v>2875.1133448850187</v>
      </c>
      <c r="D247" s="30">
        <f t="shared" si="13"/>
        <v>477.88665511498129</v>
      </c>
      <c r="E247" s="30">
        <f>PERCENTILE(D$4:D247,0.8)</f>
        <v>331.08848963199409</v>
      </c>
      <c r="F247" s="30">
        <f t="shared" si="14"/>
        <v>3206.2018345170127</v>
      </c>
      <c r="G247" s="32">
        <f t="shared" si="15"/>
        <v>10259.845870454441</v>
      </c>
    </row>
    <row r="248" spans="1:7" ht="15" customHeight="1" x14ac:dyDescent="0.3">
      <c r="A248" s="17">
        <v>246</v>
      </c>
      <c r="B248" s="17">
        <v>3441</v>
      </c>
      <c r="C248" s="23">
        <f t="shared" si="12"/>
        <v>2970.6906759080148</v>
      </c>
      <c r="D248" s="23">
        <f t="shared" si="13"/>
        <v>470.30932409198522</v>
      </c>
      <c r="E248" s="23">
        <f>PERCENTILE(D$4:D248,0.8)</f>
        <v>331.52139024264562</v>
      </c>
      <c r="F248" s="23">
        <f t="shared" si="14"/>
        <v>3302.2120661506606</v>
      </c>
      <c r="G248" s="26">
        <f t="shared" si="15"/>
        <v>10567.078611682115</v>
      </c>
    </row>
    <row r="249" spans="1:7" ht="15" customHeight="1" x14ac:dyDescent="0.3">
      <c r="A249" s="17">
        <v>247</v>
      </c>
      <c r="B249" s="17">
        <v>3143</v>
      </c>
      <c r="C249" s="30">
        <f t="shared" si="12"/>
        <v>3064.752540726412</v>
      </c>
      <c r="D249" s="30">
        <f t="shared" si="13"/>
        <v>78.247459273587992</v>
      </c>
      <c r="E249" s="30">
        <f>PERCENTILE(D$4:D249,0.8)</f>
        <v>331.45450913823151</v>
      </c>
      <c r="F249" s="30">
        <f t="shared" si="14"/>
        <v>3396.2070498646435</v>
      </c>
      <c r="G249" s="32">
        <f t="shared" si="15"/>
        <v>9855.0343601082859</v>
      </c>
    </row>
    <row r="250" spans="1:7" ht="15" customHeight="1" x14ac:dyDescent="0.3">
      <c r="A250" s="17">
        <v>248</v>
      </c>
      <c r="B250" s="17">
        <v>3239</v>
      </c>
      <c r="C250" s="23">
        <f t="shared" si="12"/>
        <v>3080.4020325811298</v>
      </c>
      <c r="D250" s="23">
        <f t="shared" si="13"/>
        <v>158.59796741887021</v>
      </c>
      <c r="E250" s="23">
        <f>PERCENTILE(D$4:D250,0.8)</f>
        <v>331.33250263615236</v>
      </c>
      <c r="F250" s="23">
        <f t="shared" si="14"/>
        <v>3411.734535217282</v>
      </c>
      <c r="G250" s="26">
        <f t="shared" si="15"/>
        <v>10226.612371826173</v>
      </c>
    </row>
    <row r="251" spans="1:7" ht="15" customHeight="1" x14ac:dyDescent="0.3">
      <c r="A251" s="17">
        <v>249</v>
      </c>
      <c r="B251" s="17">
        <v>3373</v>
      </c>
      <c r="C251" s="30">
        <f t="shared" si="12"/>
        <v>3112.1216260649044</v>
      </c>
      <c r="D251" s="30">
        <f t="shared" si="13"/>
        <v>260.87837393509562</v>
      </c>
      <c r="E251" s="30">
        <f>PERCENTILE(D$4:D251,0.8)</f>
        <v>331.21049613407325</v>
      </c>
      <c r="F251" s="30">
        <f t="shared" si="14"/>
        <v>3443.3321221989777</v>
      </c>
      <c r="G251" s="32">
        <f t="shared" si="15"/>
        <v>10737.334302240817</v>
      </c>
    </row>
    <row r="252" spans="1:7" ht="15" customHeight="1" x14ac:dyDescent="0.3">
      <c r="A252" s="17">
        <v>250</v>
      </c>
      <c r="B252" s="17">
        <v>2618</v>
      </c>
      <c r="C252" s="23">
        <f t="shared" si="12"/>
        <v>3164.2973008519234</v>
      </c>
      <c r="D252" s="23">
        <f t="shared" si="13"/>
        <v>-546.29730085192341</v>
      </c>
      <c r="E252" s="23">
        <f>PERCENTILE(D$4:D252,0.8)</f>
        <v>331.08848963199409</v>
      </c>
      <c r="F252" s="23">
        <f t="shared" si="14"/>
        <v>3495.3857904839174</v>
      </c>
      <c r="G252" s="26">
        <f t="shared" si="15"/>
        <v>7675.6913676128661</v>
      </c>
    </row>
    <row r="253" spans="1:7" ht="15" customHeight="1" x14ac:dyDescent="0.3">
      <c r="A253" s="17">
        <v>251</v>
      </c>
      <c r="B253" s="17">
        <v>3320</v>
      </c>
      <c r="C253" s="30">
        <f t="shared" si="12"/>
        <v>3055.0378406815389</v>
      </c>
      <c r="D253" s="30">
        <f t="shared" si="13"/>
        <v>264.96215931846109</v>
      </c>
      <c r="E253" s="30">
        <f>PERCENTILE(D$4:D253,0.8)</f>
        <v>330.96648312991493</v>
      </c>
      <c r="F253" s="30">
        <f t="shared" si="14"/>
        <v>3386.004323811454</v>
      </c>
      <c r="G253" s="32">
        <f t="shared" si="15"/>
        <v>10571.196540950838</v>
      </c>
    </row>
    <row r="254" spans="1:7" ht="15" customHeight="1" x14ac:dyDescent="0.3">
      <c r="A254" s="17">
        <v>252</v>
      </c>
      <c r="B254" s="17">
        <v>2781</v>
      </c>
      <c r="C254" s="23">
        <f t="shared" si="12"/>
        <v>3108.0302725452311</v>
      </c>
      <c r="D254" s="23">
        <f t="shared" si="13"/>
        <v>-327.03027254523113</v>
      </c>
      <c r="E254" s="23">
        <f>PERCENTILE(D$4:D254,0.8)</f>
        <v>330.84447662783577</v>
      </c>
      <c r="F254" s="23">
        <f t="shared" si="14"/>
        <v>3438.8747491730669</v>
      </c>
      <c r="G254" s="26">
        <f t="shared" si="15"/>
        <v>8372.9002006615465</v>
      </c>
    </row>
    <row r="255" spans="1:7" ht="15" customHeight="1" x14ac:dyDescent="0.3">
      <c r="A255" s="17">
        <v>253</v>
      </c>
      <c r="B255" s="17">
        <v>3357</v>
      </c>
      <c r="C255" s="30">
        <f t="shared" si="12"/>
        <v>3042.6242180361851</v>
      </c>
      <c r="D255" s="30">
        <f t="shared" si="13"/>
        <v>314.37578196381492</v>
      </c>
      <c r="E255" s="30">
        <f>PERCENTILE(D$4:D255,0.8)</f>
        <v>329.48689819102117</v>
      </c>
      <c r="F255" s="30">
        <f t="shared" si="14"/>
        <v>3372.1111162272064</v>
      </c>
      <c r="G255" s="32">
        <f t="shared" si="15"/>
        <v>10730.311107018235</v>
      </c>
    </row>
    <row r="256" spans="1:7" ht="15" customHeight="1" x14ac:dyDescent="0.3">
      <c r="A256" s="17">
        <v>254</v>
      </c>
      <c r="B256" s="17">
        <v>2778</v>
      </c>
      <c r="C256" s="23">
        <f t="shared" si="12"/>
        <v>3105.4993744289482</v>
      </c>
      <c r="D256" s="23">
        <f t="shared" si="13"/>
        <v>-327.49937442894816</v>
      </c>
      <c r="E256" s="23">
        <f>PERCENTILE(D$4:D256,0.8)</f>
        <v>328.12931975420656</v>
      </c>
      <c r="F256" s="23">
        <f t="shared" si="14"/>
        <v>3433.6286941831549</v>
      </c>
      <c r="G256" s="26">
        <f t="shared" si="15"/>
        <v>8365.0970446534757</v>
      </c>
    </row>
    <row r="257" spans="1:7" ht="15" customHeight="1" x14ac:dyDescent="0.3">
      <c r="A257" s="17">
        <v>255</v>
      </c>
      <c r="B257" s="17">
        <v>3449</v>
      </c>
      <c r="C257" s="30">
        <f t="shared" si="12"/>
        <v>3039.9994995431584</v>
      </c>
      <c r="D257" s="30">
        <f t="shared" si="13"/>
        <v>409.00050045684156</v>
      </c>
      <c r="E257" s="30">
        <f>PERCENTILE(D$4:D257,0.8)</f>
        <v>331.08848963199409</v>
      </c>
      <c r="F257" s="30">
        <f t="shared" si="14"/>
        <v>3371.0879891751524</v>
      </c>
      <c r="G257" s="32">
        <f t="shared" si="15"/>
        <v>10787.481565360487</v>
      </c>
    </row>
    <row r="258" spans="1:7" ht="15" customHeight="1" x14ac:dyDescent="0.3">
      <c r="A258" s="17">
        <v>256</v>
      </c>
      <c r="B258" s="17">
        <v>3086</v>
      </c>
      <c r="C258" s="23">
        <f t="shared" si="12"/>
        <v>3121.7995996345271</v>
      </c>
      <c r="D258" s="23">
        <f t="shared" si="13"/>
        <v>-35.799599634527112</v>
      </c>
      <c r="E258" s="23">
        <f>PERCENTILE(D$4:D258,0.8)</f>
        <v>330.96648312991493</v>
      </c>
      <c r="F258" s="23">
        <f t="shared" si="14"/>
        <v>3452.7660827644422</v>
      </c>
      <c r="G258" s="26">
        <f t="shared" si="15"/>
        <v>9581.7871337884462</v>
      </c>
    </row>
    <row r="259" spans="1:7" ht="15" customHeight="1" x14ac:dyDescent="0.3">
      <c r="A259" s="17">
        <v>257</v>
      </c>
      <c r="B259" s="17">
        <v>2577</v>
      </c>
      <c r="C259" s="30">
        <f t="shared" si="12"/>
        <v>3114.6396797076222</v>
      </c>
      <c r="D259" s="30">
        <f t="shared" si="13"/>
        <v>-537.63967970762224</v>
      </c>
      <c r="E259" s="30">
        <f>PERCENTILE(D$4:D259,0.8)</f>
        <v>330.84447662783577</v>
      </c>
      <c r="F259" s="30">
        <f t="shared" si="14"/>
        <v>3445.484156335458</v>
      </c>
      <c r="G259" s="32">
        <f t="shared" si="15"/>
        <v>7551.6126749316336</v>
      </c>
    </row>
    <row r="260" spans="1:7" ht="15" customHeight="1" x14ac:dyDescent="0.3">
      <c r="A260" s="17">
        <v>258</v>
      </c>
      <c r="B260" s="17">
        <v>3360</v>
      </c>
      <c r="C260" s="23">
        <f t="shared" ref="C260:C323" si="16">0.2*B259+0.8*C259</f>
        <v>3007.1117437660982</v>
      </c>
      <c r="D260" s="23">
        <f t="shared" ref="D260:D323" si="17">B260-C260</f>
        <v>352.88825623390176</v>
      </c>
      <c r="E260" s="23">
        <f>PERCENTILE(D$4:D260,0.8)</f>
        <v>331.33250263615236</v>
      </c>
      <c r="F260" s="23">
        <f t="shared" si="14"/>
        <v>3338.4442464022504</v>
      </c>
      <c r="G260" s="26">
        <f t="shared" si="15"/>
        <v>10683.021588487201</v>
      </c>
    </row>
    <row r="261" spans="1:7" ht="15" customHeight="1" x14ac:dyDescent="0.3">
      <c r="A261" s="17">
        <v>259</v>
      </c>
      <c r="B261" s="17">
        <v>3444</v>
      </c>
      <c r="C261" s="30">
        <f t="shared" si="16"/>
        <v>3077.6893950128788</v>
      </c>
      <c r="D261" s="30">
        <f t="shared" si="17"/>
        <v>366.31060498712122</v>
      </c>
      <c r="E261" s="30">
        <f>PERCENTILE(D$4:D261,0.8)</f>
        <v>331.65515245147384</v>
      </c>
      <c r="F261" s="30">
        <f t="shared" ref="F261:F324" si="18">C261+E261</f>
        <v>3409.3445474643527</v>
      </c>
      <c r="G261" s="32">
        <f t="shared" ref="G261:G324" si="19">4*MIN(F261,B261)-0.8*F261</f>
        <v>10909.902551885929</v>
      </c>
    </row>
    <row r="262" spans="1:7" ht="15" customHeight="1" x14ac:dyDescent="0.3">
      <c r="A262" s="17">
        <v>260</v>
      </c>
      <c r="B262" s="17">
        <v>3076</v>
      </c>
      <c r="C262" s="23">
        <f t="shared" si="16"/>
        <v>3150.9515160103033</v>
      </c>
      <c r="D262" s="23">
        <f t="shared" si="17"/>
        <v>-74.951516010303294</v>
      </c>
      <c r="E262" s="23">
        <f>PERCENTILE(D$4:D262,0.8)</f>
        <v>331.58827134705973</v>
      </c>
      <c r="F262" s="23">
        <f t="shared" si="18"/>
        <v>3482.5397873573629</v>
      </c>
      <c r="G262" s="26">
        <f t="shared" si="19"/>
        <v>9517.9681701141089</v>
      </c>
    </row>
    <row r="263" spans="1:7" ht="15" customHeight="1" x14ac:dyDescent="0.3">
      <c r="A263" s="17">
        <v>261</v>
      </c>
      <c r="B263" s="17">
        <v>2671</v>
      </c>
      <c r="C263" s="30">
        <f t="shared" si="16"/>
        <v>3135.9612128082426</v>
      </c>
      <c r="D263" s="30">
        <f t="shared" si="17"/>
        <v>-464.96121280824264</v>
      </c>
      <c r="E263" s="30">
        <f>PERCENTILE(D$4:D263,0.8)</f>
        <v>331.52139024264562</v>
      </c>
      <c r="F263" s="30">
        <f t="shared" si="18"/>
        <v>3467.4826030508884</v>
      </c>
      <c r="G263" s="32">
        <f t="shared" si="19"/>
        <v>7910.0139175592885</v>
      </c>
    </row>
    <row r="264" spans="1:7" ht="15" customHeight="1" x14ac:dyDescent="0.3">
      <c r="A264" s="17">
        <v>262</v>
      </c>
      <c r="B264" s="17">
        <v>3101</v>
      </c>
      <c r="C264" s="23">
        <f t="shared" si="16"/>
        <v>3042.9689702465939</v>
      </c>
      <c r="D264" s="23">
        <f t="shared" si="17"/>
        <v>58.031029753406074</v>
      </c>
      <c r="E264" s="23">
        <f>PERCENTILE(D$4:D264,0.8)</f>
        <v>331.45450913823151</v>
      </c>
      <c r="F264" s="23">
        <f t="shared" si="18"/>
        <v>3374.4234793848254</v>
      </c>
      <c r="G264" s="26">
        <f t="shared" si="19"/>
        <v>9704.46121649214</v>
      </c>
    </row>
    <row r="265" spans="1:7" ht="15" customHeight="1" x14ac:dyDescent="0.3">
      <c r="A265" s="17">
        <v>263</v>
      </c>
      <c r="B265" s="17">
        <v>3256</v>
      </c>
      <c r="C265" s="30">
        <f t="shared" si="16"/>
        <v>3054.5751761972751</v>
      </c>
      <c r="D265" s="30">
        <f t="shared" si="17"/>
        <v>201.42482380272486</v>
      </c>
      <c r="E265" s="30">
        <f>PERCENTILE(D$4:D265,0.8)</f>
        <v>331.33250263615236</v>
      </c>
      <c r="F265" s="30">
        <f t="shared" si="18"/>
        <v>3385.9076788334273</v>
      </c>
      <c r="G265" s="32">
        <f t="shared" si="19"/>
        <v>10315.273856933258</v>
      </c>
    </row>
    <row r="266" spans="1:7" ht="15" customHeight="1" x14ac:dyDescent="0.3">
      <c r="A266" s="17">
        <v>264</v>
      </c>
      <c r="B266" s="17">
        <v>3345</v>
      </c>
      <c r="C266" s="23">
        <f t="shared" si="16"/>
        <v>3094.8601409578205</v>
      </c>
      <c r="D266" s="23">
        <f t="shared" si="17"/>
        <v>250.13985904217952</v>
      </c>
      <c r="E266" s="23">
        <f>PERCENTILE(D$4:D266,0.8)</f>
        <v>331.21049613407325</v>
      </c>
      <c r="F266" s="23">
        <f t="shared" si="18"/>
        <v>3426.0706370918938</v>
      </c>
      <c r="G266" s="26">
        <f t="shared" si="19"/>
        <v>10639.143490326485</v>
      </c>
    </row>
    <row r="267" spans="1:7" ht="15" customHeight="1" x14ac:dyDescent="0.3">
      <c r="A267" s="17">
        <v>265</v>
      </c>
      <c r="B267" s="17">
        <v>3365</v>
      </c>
      <c r="C267" s="30">
        <f t="shared" si="16"/>
        <v>3144.8881127662567</v>
      </c>
      <c r="D267" s="30">
        <f t="shared" si="17"/>
        <v>220.11188723374335</v>
      </c>
      <c r="E267" s="30">
        <f>PERCENTILE(D$4:D267,0.8)</f>
        <v>331.08848963199409</v>
      </c>
      <c r="F267" s="30">
        <f t="shared" si="18"/>
        <v>3475.9766023982506</v>
      </c>
      <c r="G267" s="32">
        <f t="shared" si="19"/>
        <v>10679.2187180814</v>
      </c>
    </row>
    <row r="268" spans="1:7" ht="15" customHeight="1" x14ac:dyDescent="0.3">
      <c r="A268" s="17">
        <v>266</v>
      </c>
      <c r="B268" s="17">
        <v>3214</v>
      </c>
      <c r="C268" s="23">
        <f t="shared" si="16"/>
        <v>3188.9104902130057</v>
      </c>
      <c r="D268" s="23">
        <f t="shared" si="17"/>
        <v>25.089509786994313</v>
      </c>
      <c r="E268" s="23">
        <f>PERCENTILE(D$4:D268,0.8)</f>
        <v>330.96648312991493</v>
      </c>
      <c r="F268" s="23">
        <f t="shared" si="18"/>
        <v>3519.8769733429208</v>
      </c>
      <c r="G268" s="26">
        <f t="shared" si="19"/>
        <v>10040.098421325663</v>
      </c>
    </row>
    <row r="269" spans="1:7" ht="15" customHeight="1" x14ac:dyDescent="0.3">
      <c r="A269" s="17">
        <v>267</v>
      </c>
      <c r="B269" s="17">
        <v>2846</v>
      </c>
      <c r="C269" s="30">
        <f t="shared" si="16"/>
        <v>3193.928392170405</v>
      </c>
      <c r="D269" s="30">
        <f t="shared" si="17"/>
        <v>-347.928392170405</v>
      </c>
      <c r="E269" s="30">
        <f>PERCENTILE(D$4:D269,0.8)</f>
        <v>330.84447662783577</v>
      </c>
      <c r="F269" s="30">
        <f t="shared" si="18"/>
        <v>3524.7728687982408</v>
      </c>
      <c r="G269" s="32">
        <f t="shared" si="19"/>
        <v>8564.1817049614074</v>
      </c>
    </row>
    <row r="270" spans="1:7" ht="15" customHeight="1" x14ac:dyDescent="0.3">
      <c r="A270" s="17">
        <v>268</v>
      </c>
      <c r="B270" s="17">
        <v>3111</v>
      </c>
      <c r="C270" s="23">
        <f t="shared" si="16"/>
        <v>3124.3427137363242</v>
      </c>
      <c r="D270" s="23">
        <f t="shared" si="17"/>
        <v>-13.342713736324185</v>
      </c>
      <c r="E270" s="23">
        <f>PERCENTILE(D$4:D270,0.8)</f>
        <v>329.48689819102117</v>
      </c>
      <c r="F270" s="23">
        <f t="shared" si="18"/>
        <v>3453.8296119273455</v>
      </c>
      <c r="G270" s="26">
        <f t="shared" si="19"/>
        <v>9680.9363104581244</v>
      </c>
    </row>
    <row r="271" spans="1:7" ht="15" customHeight="1" x14ac:dyDescent="0.3">
      <c r="A271" s="17">
        <v>269</v>
      </c>
      <c r="B271" s="17">
        <v>2695</v>
      </c>
      <c r="C271" s="30">
        <f t="shared" si="16"/>
        <v>3121.6741709890593</v>
      </c>
      <c r="D271" s="30">
        <f t="shared" si="17"/>
        <v>-426.67417098905935</v>
      </c>
      <c r="E271" s="30">
        <f>PERCENTILE(D$4:D271,0.8)</f>
        <v>328.12931975420656</v>
      </c>
      <c r="F271" s="30">
        <f t="shared" si="18"/>
        <v>3449.8034907432657</v>
      </c>
      <c r="G271" s="32">
        <f t="shared" si="19"/>
        <v>8020.1572074053875</v>
      </c>
    </row>
    <row r="272" spans="1:7" ht="15" customHeight="1" x14ac:dyDescent="0.3">
      <c r="A272" s="17">
        <v>270</v>
      </c>
      <c r="B272" s="17">
        <v>3571</v>
      </c>
      <c r="C272" s="23">
        <f t="shared" si="16"/>
        <v>3036.3393367912477</v>
      </c>
      <c r="D272" s="23">
        <f t="shared" si="17"/>
        <v>534.66066320875234</v>
      </c>
      <c r="E272" s="23">
        <f>PERCENTILE(D$4:D272,0.8)</f>
        <v>331.08848963199409</v>
      </c>
      <c r="F272" s="23">
        <f t="shared" si="18"/>
        <v>3367.4278264232416</v>
      </c>
      <c r="G272" s="26">
        <f t="shared" si="19"/>
        <v>10775.769044554374</v>
      </c>
    </row>
    <row r="273" spans="1:7" ht="15" customHeight="1" x14ac:dyDescent="0.3">
      <c r="A273" s="17">
        <v>271</v>
      </c>
      <c r="B273" s="17">
        <v>3444</v>
      </c>
      <c r="C273" s="30">
        <f t="shared" si="16"/>
        <v>3143.2714694329979</v>
      </c>
      <c r="D273" s="30">
        <f t="shared" si="17"/>
        <v>300.72853056700205</v>
      </c>
      <c r="E273" s="30">
        <f>PERCENTILE(D$4:D273,0.8)</f>
        <v>330.96648312991493</v>
      </c>
      <c r="F273" s="30">
        <f t="shared" si="18"/>
        <v>3474.2379525629131</v>
      </c>
      <c r="G273" s="32">
        <f t="shared" si="19"/>
        <v>10996.60963794967</v>
      </c>
    </row>
    <row r="274" spans="1:7" ht="15" customHeight="1" x14ac:dyDescent="0.3">
      <c r="A274" s="17">
        <v>272</v>
      </c>
      <c r="B274" s="17">
        <v>3475</v>
      </c>
      <c r="C274" s="23">
        <f t="shared" si="16"/>
        <v>3203.4171755463985</v>
      </c>
      <c r="D274" s="23">
        <f t="shared" si="17"/>
        <v>271.58282445360146</v>
      </c>
      <c r="E274" s="23">
        <f>PERCENTILE(D$4:D274,0.8)</f>
        <v>330.84447662783577</v>
      </c>
      <c r="F274" s="23">
        <f t="shared" si="18"/>
        <v>3534.2616521742343</v>
      </c>
      <c r="G274" s="26">
        <f t="shared" si="19"/>
        <v>11072.590678260613</v>
      </c>
    </row>
    <row r="275" spans="1:7" ht="15" customHeight="1" x14ac:dyDescent="0.3">
      <c r="A275" s="17">
        <v>273</v>
      </c>
      <c r="B275" s="17">
        <v>2828</v>
      </c>
      <c r="C275" s="30">
        <f t="shared" si="16"/>
        <v>3257.7337404371192</v>
      </c>
      <c r="D275" s="30">
        <f t="shared" si="17"/>
        <v>-429.7337404371192</v>
      </c>
      <c r="E275" s="30">
        <f>PERCENTILE(D$4:D275,0.8)</f>
        <v>329.48689819102117</v>
      </c>
      <c r="F275" s="30">
        <f t="shared" si="18"/>
        <v>3587.2206386281405</v>
      </c>
      <c r="G275" s="32">
        <f t="shared" si="19"/>
        <v>8442.2234890974869</v>
      </c>
    </row>
    <row r="276" spans="1:7" ht="15" customHeight="1" x14ac:dyDescent="0.3">
      <c r="A276" s="17">
        <v>274</v>
      </c>
      <c r="B276" s="17">
        <v>2878</v>
      </c>
      <c r="C276" s="23">
        <f t="shared" si="16"/>
        <v>3171.7869923496955</v>
      </c>
      <c r="D276" s="23">
        <f t="shared" si="17"/>
        <v>-293.78699234969554</v>
      </c>
      <c r="E276" s="23">
        <f>PERCENTILE(D$4:D276,0.8)</f>
        <v>328.12931975420656</v>
      </c>
      <c r="F276" s="23">
        <f t="shared" si="18"/>
        <v>3499.9163121039019</v>
      </c>
      <c r="G276" s="26">
        <f t="shared" si="19"/>
        <v>8712.0669503168792</v>
      </c>
    </row>
    <row r="277" spans="1:7" ht="15" customHeight="1" x14ac:dyDescent="0.3">
      <c r="A277" s="17">
        <v>275</v>
      </c>
      <c r="B277" s="17">
        <v>3476</v>
      </c>
      <c r="C277" s="30">
        <f t="shared" si="16"/>
        <v>3113.0295938797567</v>
      </c>
      <c r="D277" s="30">
        <f t="shared" si="17"/>
        <v>362.9704061202433</v>
      </c>
      <c r="E277" s="30">
        <f>PERCENTILE(D$4:D277,0.8)</f>
        <v>331.08848963199409</v>
      </c>
      <c r="F277" s="30">
        <f t="shared" si="18"/>
        <v>3444.1180835117507</v>
      </c>
      <c r="G277" s="32">
        <f t="shared" si="19"/>
        <v>11021.177867237602</v>
      </c>
    </row>
    <row r="278" spans="1:7" ht="15" customHeight="1" x14ac:dyDescent="0.3">
      <c r="A278" s="17">
        <v>276</v>
      </c>
      <c r="B278" s="17">
        <v>3535</v>
      </c>
      <c r="C278" s="23">
        <f t="shared" si="16"/>
        <v>3185.6236751038059</v>
      </c>
      <c r="D278" s="23">
        <f t="shared" si="17"/>
        <v>349.37632489619409</v>
      </c>
      <c r="E278" s="23">
        <f>PERCENTILE(D$4:D278,0.8)</f>
        <v>331.52139024264562</v>
      </c>
      <c r="F278" s="23">
        <f t="shared" si="18"/>
        <v>3517.1450653464517</v>
      </c>
      <c r="G278" s="26">
        <f t="shared" si="19"/>
        <v>11254.864209108646</v>
      </c>
    </row>
    <row r="279" spans="1:7" ht="15" customHeight="1" x14ac:dyDescent="0.3">
      <c r="A279" s="17">
        <v>277</v>
      </c>
      <c r="B279" s="17">
        <v>2841</v>
      </c>
      <c r="C279" s="30">
        <f t="shared" si="16"/>
        <v>3255.498940083045</v>
      </c>
      <c r="D279" s="30">
        <f t="shared" si="17"/>
        <v>-414.498940083045</v>
      </c>
      <c r="E279" s="30">
        <f>PERCENTILE(D$4:D279,0.8)</f>
        <v>331.45450913823151</v>
      </c>
      <c r="F279" s="30">
        <f t="shared" si="18"/>
        <v>3586.9534492212765</v>
      </c>
      <c r="G279" s="32">
        <f t="shared" si="19"/>
        <v>8494.4372406229777</v>
      </c>
    </row>
    <row r="280" spans="1:7" ht="15" customHeight="1" x14ac:dyDescent="0.3">
      <c r="A280" s="17">
        <v>278</v>
      </c>
      <c r="B280" s="17">
        <v>2935</v>
      </c>
      <c r="C280" s="23">
        <f t="shared" si="16"/>
        <v>3172.5991520664365</v>
      </c>
      <c r="D280" s="23">
        <f t="shared" si="17"/>
        <v>-237.59915206643655</v>
      </c>
      <c r="E280" s="23">
        <f>PERCENTILE(D$4:D280,0.8)</f>
        <v>331.33250263615236</v>
      </c>
      <c r="F280" s="23">
        <f t="shared" si="18"/>
        <v>3503.9316547025887</v>
      </c>
      <c r="G280" s="26">
        <f t="shared" si="19"/>
        <v>8936.8546762379283</v>
      </c>
    </row>
    <row r="281" spans="1:7" ht="15" customHeight="1" x14ac:dyDescent="0.3">
      <c r="A281" s="17">
        <v>279</v>
      </c>
      <c r="B281" s="17">
        <v>3421</v>
      </c>
      <c r="C281" s="30">
        <f t="shared" si="16"/>
        <v>3125.0793216531492</v>
      </c>
      <c r="D281" s="30">
        <f t="shared" si="17"/>
        <v>295.92067834685076</v>
      </c>
      <c r="E281" s="30">
        <f>PERCENTILE(D$4:D281,0.8)</f>
        <v>331.21049613407325</v>
      </c>
      <c r="F281" s="30">
        <f t="shared" si="18"/>
        <v>3456.2898177872225</v>
      </c>
      <c r="G281" s="32">
        <f t="shared" si="19"/>
        <v>10918.968145770221</v>
      </c>
    </row>
    <row r="282" spans="1:7" ht="15" customHeight="1" x14ac:dyDescent="0.3">
      <c r="A282" s="17">
        <v>280</v>
      </c>
      <c r="B282" s="17">
        <v>3455</v>
      </c>
      <c r="C282" s="23">
        <f t="shared" si="16"/>
        <v>3184.2634573225196</v>
      </c>
      <c r="D282" s="23">
        <f t="shared" si="17"/>
        <v>270.73654267748043</v>
      </c>
      <c r="E282" s="23">
        <f>PERCENTILE(D$4:D282,0.8)</f>
        <v>331.08848963199409</v>
      </c>
      <c r="F282" s="23">
        <f t="shared" si="18"/>
        <v>3515.3519469545136</v>
      </c>
      <c r="G282" s="26">
        <f t="shared" si="19"/>
        <v>11007.71844243639</v>
      </c>
    </row>
    <row r="283" spans="1:7" ht="15" customHeight="1" x14ac:dyDescent="0.3">
      <c r="A283" s="17">
        <v>281</v>
      </c>
      <c r="B283" s="17">
        <v>3503</v>
      </c>
      <c r="C283" s="30">
        <f t="shared" si="16"/>
        <v>3238.410765858016</v>
      </c>
      <c r="D283" s="30">
        <f t="shared" si="17"/>
        <v>264.58923414198398</v>
      </c>
      <c r="E283" s="30">
        <f>PERCENTILE(D$4:D283,0.8)</f>
        <v>330.96648312991493</v>
      </c>
      <c r="F283" s="30">
        <f t="shared" si="18"/>
        <v>3569.3772489879311</v>
      </c>
      <c r="G283" s="32">
        <f t="shared" si="19"/>
        <v>11156.498200809656</v>
      </c>
    </row>
    <row r="284" spans="1:7" ht="15" customHeight="1" x14ac:dyDescent="0.3">
      <c r="A284" s="17">
        <v>282</v>
      </c>
      <c r="B284" s="17">
        <v>3361</v>
      </c>
      <c r="C284" s="23">
        <f t="shared" si="16"/>
        <v>3291.3286126864127</v>
      </c>
      <c r="D284" s="23">
        <f t="shared" si="17"/>
        <v>69.671387313587275</v>
      </c>
      <c r="E284" s="23">
        <f>PERCENTILE(D$4:D284,0.8)</f>
        <v>330.84447662783577</v>
      </c>
      <c r="F284" s="23">
        <f t="shared" si="18"/>
        <v>3622.1730893142485</v>
      </c>
      <c r="G284" s="26">
        <f t="shared" si="19"/>
        <v>10546.261528548601</v>
      </c>
    </row>
    <row r="285" spans="1:7" ht="15" customHeight="1" x14ac:dyDescent="0.3">
      <c r="A285" s="17">
        <v>283</v>
      </c>
      <c r="B285" s="17">
        <v>3119</v>
      </c>
      <c r="C285" s="30">
        <f t="shared" si="16"/>
        <v>3305.2628901491307</v>
      </c>
      <c r="D285" s="30">
        <f t="shared" si="17"/>
        <v>-186.26289014913073</v>
      </c>
      <c r="E285" s="30">
        <f>PERCENTILE(D$4:D285,0.8)</f>
        <v>329.48689819102117</v>
      </c>
      <c r="F285" s="30">
        <f t="shared" si="18"/>
        <v>3634.749788340152</v>
      </c>
      <c r="G285" s="32">
        <f t="shared" si="19"/>
        <v>9568.200169327878</v>
      </c>
    </row>
    <row r="286" spans="1:7" ht="15" customHeight="1" x14ac:dyDescent="0.3">
      <c r="A286" s="17">
        <v>284</v>
      </c>
      <c r="B286" s="17">
        <v>3378</v>
      </c>
      <c r="C286" s="23">
        <f t="shared" si="16"/>
        <v>3268.0103121193051</v>
      </c>
      <c r="D286" s="23">
        <f t="shared" si="17"/>
        <v>109.98968788069487</v>
      </c>
      <c r="E286" s="23">
        <f>PERCENTILE(D$4:D286,0.8)</f>
        <v>328.12931975420656</v>
      </c>
      <c r="F286" s="23">
        <f t="shared" si="18"/>
        <v>3596.1396318735115</v>
      </c>
      <c r="G286" s="26">
        <f t="shared" si="19"/>
        <v>10635.088294501191</v>
      </c>
    </row>
    <row r="287" spans="1:7" ht="15" customHeight="1" x14ac:dyDescent="0.3">
      <c r="A287" s="17">
        <v>285</v>
      </c>
      <c r="B287" s="17">
        <v>2850</v>
      </c>
      <c r="C287" s="30">
        <f t="shared" si="16"/>
        <v>3290.0082496954442</v>
      </c>
      <c r="D287" s="30">
        <f t="shared" si="17"/>
        <v>-440.00824969544419</v>
      </c>
      <c r="E287" s="30">
        <f>PERCENTILE(D$4:D287,0.8)</f>
        <v>326.77174131739179</v>
      </c>
      <c r="F287" s="30">
        <f t="shared" si="18"/>
        <v>3616.779991012836</v>
      </c>
      <c r="G287" s="32">
        <f t="shared" si="19"/>
        <v>8506.5760071897312</v>
      </c>
    </row>
    <row r="288" spans="1:7" ht="15" customHeight="1" x14ac:dyDescent="0.3">
      <c r="A288" s="17">
        <v>286</v>
      </c>
      <c r="B288" s="17">
        <v>3256</v>
      </c>
      <c r="C288" s="23">
        <f t="shared" si="16"/>
        <v>3202.0065997563556</v>
      </c>
      <c r="D288" s="23">
        <f t="shared" si="17"/>
        <v>53.993400243644373</v>
      </c>
      <c r="E288" s="23">
        <f>PERCENTILE(D$4:D288,0.8)</f>
        <v>325.41416288057718</v>
      </c>
      <c r="F288" s="23">
        <f t="shared" si="18"/>
        <v>3527.420762636933</v>
      </c>
      <c r="G288" s="26">
        <f t="shared" si="19"/>
        <v>10202.063389890453</v>
      </c>
    </row>
    <row r="289" spans="1:7" ht="15" customHeight="1" x14ac:dyDescent="0.3">
      <c r="A289" s="17">
        <v>287</v>
      </c>
      <c r="B289" s="17">
        <v>2745</v>
      </c>
      <c r="C289" s="30">
        <f t="shared" si="16"/>
        <v>3212.8052798050849</v>
      </c>
      <c r="D289" s="30">
        <f t="shared" si="17"/>
        <v>-467.80527980508487</v>
      </c>
      <c r="E289" s="30">
        <f>PERCENTILE(D$4:D289,0.8)</f>
        <v>324.0565844437624</v>
      </c>
      <c r="F289" s="30">
        <f t="shared" si="18"/>
        <v>3536.8618642488473</v>
      </c>
      <c r="G289" s="32">
        <f t="shared" si="19"/>
        <v>8150.5105086009225</v>
      </c>
    </row>
    <row r="290" spans="1:7" ht="15" customHeight="1" x14ac:dyDescent="0.3">
      <c r="A290" s="17">
        <v>288</v>
      </c>
      <c r="B290" s="17">
        <v>3545</v>
      </c>
      <c r="C290" s="23">
        <f t="shared" si="16"/>
        <v>3119.2442238440681</v>
      </c>
      <c r="D290" s="23">
        <f t="shared" si="17"/>
        <v>425.75577615593193</v>
      </c>
      <c r="E290" s="23">
        <f>PERCENTILE(D$4:D290,0.8)</f>
        <v>329.48689819102117</v>
      </c>
      <c r="F290" s="23">
        <f t="shared" si="18"/>
        <v>3448.7311220350894</v>
      </c>
      <c r="G290" s="26">
        <f t="shared" si="19"/>
        <v>11035.939590512286</v>
      </c>
    </row>
    <row r="291" spans="1:7" ht="15" customHeight="1" x14ac:dyDescent="0.3">
      <c r="A291" s="17">
        <v>289</v>
      </c>
      <c r="B291" s="17">
        <v>2848</v>
      </c>
      <c r="C291" s="30">
        <f t="shared" si="16"/>
        <v>3204.3953790752548</v>
      </c>
      <c r="D291" s="30">
        <f t="shared" si="17"/>
        <v>-356.39537907525482</v>
      </c>
      <c r="E291" s="30">
        <f>PERCENTILE(D$4:D291,0.8)</f>
        <v>328.12931975420656</v>
      </c>
      <c r="F291" s="30">
        <f t="shared" si="18"/>
        <v>3532.5246988294612</v>
      </c>
      <c r="G291" s="32">
        <f t="shared" si="19"/>
        <v>8565.9802409364311</v>
      </c>
    </row>
    <row r="292" spans="1:7" ht="15" customHeight="1" x14ac:dyDescent="0.3">
      <c r="A292" s="17">
        <v>290</v>
      </c>
      <c r="B292" s="17">
        <v>3145</v>
      </c>
      <c r="C292" s="23">
        <f t="shared" si="16"/>
        <v>3133.1163032602039</v>
      </c>
      <c r="D292" s="23">
        <f t="shared" si="17"/>
        <v>11.883696739796051</v>
      </c>
      <c r="E292" s="23">
        <f>PERCENTILE(D$4:D292,0.8)</f>
        <v>326.77174131739179</v>
      </c>
      <c r="F292" s="23">
        <f t="shared" si="18"/>
        <v>3459.8880445775958</v>
      </c>
      <c r="G292" s="26">
        <f t="shared" si="19"/>
        <v>9812.0895643379226</v>
      </c>
    </row>
    <row r="293" spans="1:7" ht="15" customHeight="1" x14ac:dyDescent="0.3">
      <c r="A293" s="17">
        <v>291</v>
      </c>
      <c r="B293" s="17">
        <v>3484</v>
      </c>
      <c r="C293" s="30">
        <f t="shared" si="16"/>
        <v>3135.4930426081633</v>
      </c>
      <c r="D293" s="30">
        <f t="shared" si="17"/>
        <v>348.50695739183675</v>
      </c>
      <c r="E293" s="30">
        <f>PERCENTILE(D$4:D293,0.8)</f>
        <v>330.96648312991493</v>
      </c>
      <c r="F293" s="30">
        <f t="shared" si="18"/>
        <v>3466.4595257380784</v>
      </c>
      <c r="G293" s="32">
        <f t="shared" si="19"/>
        <v>11092.670482361851</v>
      </c>
    </row>
    <row r="294" spans="1:7" ht="15" customHeight="1" x14ac:dyDescent="0.3">
      <c r="A294" s="17">
        <v>292</v>
      </c>
      <c r="B294" s="17">
        <v>3305</v>
      </c>
      <c r="C294" s="23">
        <f t="shared" si="16"/>
        <v>3205.1944340865311</v>
      </c>
      <c r="D294" s="23">
        <f t="shared" si="17"/>
        <v>99.805565913468854</v>
      </c>
      <c r="E294" s="23">
        <f>PERCENTILE(D$4:D294,0.8)</f>
        <v>330.84447662783577</v>
      </c>
      <c r="F294" s="23">
        <f t="shared" si="18"/>
        <v>3536.0389107143669</v>
      </c>
      <c r="G294" s="26">
        <f t="shared" si="19"/>
        <v>10391.168871428506</v>
      </c>
    </row>
    <row r="295" spans="1:7" ht="15" customHeight="1" x14ac:dyDescent="0.3">
      <c r="A295" s="17">
        <v>293</v>
      </c>
      <c r="B295" s="17">
        <v>3442</v>
      </c>
      <c r="C295" s="30">
        <f t="shared" si="16"/>
        <v>3225.1555472692253</v>
      </c>
      <c r="D295" s="30">
        <f t="shared" si="17"/>
        <v>216.84445273077472</v>
      </c>
      <c r="E295" s="30">
        <f>PERCENTILE(D$4:D295,0.8)</f>
        <v>329.48689819102117</v>
      </c>
      <c r="F295" s="30">
        <f t="shared" si="18"/>
        <v>3554.6424454602466</v>
      </c>
      <c r="G295" s="32">
        <f t="shared" si="19"/>
        <v>10924.286043631802</v>
      </c>
    </row>
    <row r="296" spans="1:7" ht="15" customHeight="1" x14ac:dyDescent="0.3">
      <c r="A296" s="17">
        <v>294</v>
      </c>
      <c r="B296" s="17">
        <v>3156</v>
      </c>
      <c r="C296" s="23">
        <f t="shared" si="16"/>
        <v>3268.5244378153807</v>
      </c>
      <c r="D296" s="23">
        <f t="shared" si="17"/>
        <v>-112.52443781538068</v>
      </c>
      <c r="E296" s="23">
        <f>PERCENTILE(D$4:D296,0.8)</f>
        <v>328.12931975420656</v>
      </c>
      <c r="F296" s="23">
        <f t="shared" si="18"/>
        <v>3596.6537575695875</v>
      </c>
      <c r="G296" s="26">
        <f t="shared" si="19"/>
        <v>9746.6769939443293</v>
      </c>
    </row>
    <row r="297" spans="1:7" ht="15" customHeight="1" x14ac:dyDescent="0.3">
      <c r="A297" s="17">
        <v>295</v>
      </c>
      <c r="B297" s="17">
        <v>3190</v>
      </c>
      <c r="C297" s="30">
        <f t="shared" si="16"/>
        <v>3246.0195502523047</v>
      </c>
      <c r="D297" s="30">
        <f t="shared" si="17"/>
        <v>-56.019550252304725</v>
      </c>
      <c r="E297" s="30">
        <f>PERCENTILE(D$4:D297,0.8)</f>
        <v>326.77174131739179</v>
      </c>
      <c r="F297" s="30">
        <f t="shared" si="18"/>
        <v>3572.7912915696966</v>
      </c>
      <c r="G297" s="32">
        <f t="shared" si="19"/>
        <v>9901.7669667442424</v>
      </c>
    </row>
    <row r="298" spans="1:7" ht="15" customHeight="1" x14ac:dyDescent="0.3">
      <c r="A298" s="17">
        <v>296</v>
      </c>
      <c r="B298" s="17">
        <v>3368</v>
      </c>
      <c r="C298" s="23">
        <f t="shared" si="16"/>
        <v>3234.815640201844</v>
      </c>
      <c r="D298" s="23">
        <f t="shared" si="17"/>
        <v>133.18435979815604</v>
      </c>
      <c r="E298" s="23">
        <f>PERCENTILE(D$4:D298,0.8)</f>
        <v>325.41416288057718</v>
      </c>
      <c r="F298" s="23">
        <f t="shared" si="18"/>
        <v>3560.2298030824213</v>
      </c>
      <c r="G298" s="26">
        <f t="shared" si="19"/>
        <v>10623.816157534064</v>
      </c>
    </row>
    <row r="299" spans="1:7" ht="15" customHeight="1" x14ac:dyDescent="0.3">
      <c r="A299" s="17">
        <v>297</v>
      </c>
      <c r="B299" s="17">
        <v>3573</v>
      </c>
      <c r="C299" s="30">
        <f t="shared" si="16"/>
        <v>3261.4525121614752</v>
      </c>
      <c r="D299" s="30">
        <f t="shared" si="17"/>
        <v>311.54748783852483</v>
      </c>
      <c r="E299" s="30">
        <f>PERCENTILE(D$4:D299,0.8)</f>
        <v>324.0565844437624</v>
      </c>
      <c r="F299" s="30">
        <f t="shared" si="18"/>
        <v>3585.5090966052376</v>
      </c>
      <c r="G299" s="32">
        <f t="shared" si="19"/>
        <v>11423.59272271581</v>
      </c>
    </row>
    <row r="300" spans="1:7" ht="15" customHeight="1" x14ac:dyDescent="0.3">
      <c r="A300" s="17">
        <v>298</v>
      </c>
      <c r="B300" s="17">
        <v>3666</v>
      </c>
      <c r="C300" s="23">
        <f t="shared" si="16"/>
        <v>3323.7620097291801</v>
      </c>
      <c r="D300" s="23">
        <f t="shared" si="17"/>
        <v>342.23799027081986</v>
      </c>
      <c r="E300" s="23">
        <f>PERCENTILE(D$4:D300,0.8)</f>
        <v>329.48689819102117</v>
      </c>
      <c r="F300" s="23">
        <f t="shared" si="18"/>
        <v>3653.2489079202014</v>
      </c>
      <c r="G300" s="26">
        <f t="shared" si="19"/>
        <v>11690.396505344645</v>
      </c>
    </row>
    <row r="301" spans="1:7" ht="15" customHeight="1" x14ac:dyDescent="0.3">
      <c r="A301" s="17">
        <v>299</v>
      </c>
      <c r="B301" s="17">
        <v>2830</v>
      </c>
      <c r="C301" s="30">
        <f t="shared" si="16"/>
        <v>3392.2096077833439</v>
      </c>
      <c r="D301" s="30">
        <f t="shared" si="17"/>
        <v>-562.20960778334393</v>
      </c>
      <c r="E301" s="30">
        <f>PERCENTILE(D$4:D301,0.8)</f>
        <v>328.12931975420656</v>
      </c>
      <c r="F301" s="30">
        <f t="shared" si="18"/>
        <v>3720.3389275375503</v>
      </c>
      <c r="G301" s="32">
        <f t="shared" si="19"/>
        <v>8343.7288579699598</v>
      </c>
    </row>
    <row r="302" spans="1:7" ht="15" customHeight="1" x14ac:dyDescent="0.3">
      <c r="A302" s="17">
        <v>300</v>
      </c>
      <c r="B302" s="17">
        <v>3643</v>
      </c>
      <c r="C302" s="23">
        <f t="shared" si="16"/>
        <v>3279.7676862266753</v>
      </c>
      <c r="D302" s="23">
        <f t="shared" si="17"/>
        <v>363.23231377332468</v>
      </c>
      <c r="E302" s="23">
        <f>PERCENTILE(D$4:D302,0.8)</f>
        <v>331.08848963199409</v>
      </c>
      <c r="F302" s="23">
        <f t="shared" si="18"/>
        <v>3610.8561758586693</v>
      </c>
      <c r="G302" s="26">
        <f t="shared" si="19"/>
        <v>11554.739762747742</v>
      </c>
    </row>
    <row r="303" spans="1:7" ht="15" customHeight="1" x14ac:dyDescent="0.3">
      <c r="A303" s="17">
        <v>301</v>
      </c>
      <c r="B303" s="17">
        <v>2733</v>
      </c>
      <c r="C303" s="30">
        <f t="shared" si="16"/>
        <v>3352.4141489813405</v>
      </c>
      <c r="D303" s="30">
        <f t="shared" si="17"/>
        <v>-619.41414898134053</v>
      </c>
      <c r="E303" s="30">
        <f>PERCENTILE(D$4:D303,0.8)</f>
        <v>330.96648312991493</v>
      </c>
      <c r="F303" s="30">
        <f t="shared" si="18"/>
        <v>3683.3806321112556</v>
      </c>
      <c r="G303" s="32">
        <f t="shared" si="19"/>
        <v>7985.2954943109953</v>
      </c>
    </row>
    <row r="304" spans="1:7" ht="15" customHeight="1" x14ac:dyDescent="0.3">
      <c r="A304" s="17">
        <v>302</v>
      </c>
      <c r="B304" s="17">
        <v>2948</v>
      </c>
      <c r="C304" s="23">
        <f t="shared" si="16"/>
        <v>3228.5313191850723</v>
      </c>
      <c r="D304" s="23">
        <f t="shared" si="17"/>
        <v>-280.53131918507233</v>
      </c>
      <c r="E304" s="23">
        <f>PERCENTILE(D$4:D304,0.8)</f>
        <v>330.84447662783577</v>
      </c>
      <c r="F304" s="23">
        <f t="shared" si="18"/>
        <v>3559.3757958129081</v>
      </c>
      <c r="G304" s="26">
        <f t="shared" si="19"/>
        <v>8944.4993633496742</v>
      </c>
    </row>
    <row r="305" spans="1:7" ht="15" customHeight="1" x14ac:dyDescent="0.3">
      <c r="A305" s="17">
        <v>303</v>
      </c>
      <c r="B305" s="17">
        <v>3648</v>
      </c>
      <c r="C305" s="30">
        <f t="shared" si="16"/>
        <v>3172.4250553480579</v>
      </c>
      <c r="D305" s="30">
        <f t="shared" si="17"/>
        <v>475.57494465194213</v>
      </c>
      <c r="E305" s="30">
        <f>PERCENTILE(D$4:D305,0.8)</f>
        <v>331.33250263615236</v>
      </c>
      <c r="F305" s="30">
        <f t="shared" si="18"/>
        <v>3503.7575579842101</v>
      </c>
      <c r="G305" s="32">
        <f t="shared" si="19"/>
        <v>11212.024185549471</v>
      </c>
    </row>
    <row r="306" spans="1:7" ht="15" customHeight="1" x14ac:dyDescent="0.3">
      <c r="A306" s="17">
        <v>304</v>
      </c>
      <c r="B306" s="17">
        <v>3587</v>
      </c>
      <c r="C306" s="23">
        <f t="shared" si="16"/>
        <v>3267.5400442784462</v>
      </c>
      <c r="D306" s="23">
        <f t="shared" si="17"/>
        <v>319.4599557215538</v>
      </c>
      <c r="E306" s="23">
        <f>PERCENTILE(D$4:D306,0.8)</f>
        <v>331.21049613407325</v>
      </c>
      <c r="F306" s="23">
        <f t="shared" si="18"/>
        <v>3598.7505404125195</v>
      </c>
      <c r="G306" s="26">
        <f t="shared" si="19"/>
        <v>11468.999567669984</v>
      </c>
    </row>
    <row r="307" spans="1:7" ht="15" customHeight="1" x14ac:dyDescent="0.3">
      <c r="A307" s="17">
        <v>305</v>
      </c>
      <c r="B307" s="17">
        <v>3119</v>
      </c>
      <c r="C307" s="30">
        <f t="shared" si="16"/>
        <v>3331.4320354227571</v>
      </c>
      <c r="D307" s="30">
        <f t="shared" si="17"/>
        <v>-212.43203542275705</v>
      </c>
      <c r="E307" s="30">
        <f>PERCENTILE(D$4:D307,0.8)</f>
        <v>331.08848963199409</v>
      </c>
      <c r="F307" s="30">
        <f t="shared" si="18"/>
        <v>3662.520525054751</v>
      </c>
      <c r="G307" s="32">
        <f t="shared" si="19"/>
        <v>9545.9835799561988</v>
      </c>
    </row>
    <row r="308" spans="1:7" ht="15" customHeight="1" x14ac:dyDescent="0.3">
      <c r="A308" s="17">
        <v>306</v>
      </c>
      <c r="B308" s="17">
        <v>3356</v>
      </c>
      <c r="C308" s="23">
        <f t="shared" si="16"/>
        <v>3288.945628338206</v>
      </c>
      <c r="D308" s="23">
        <f t="shared" si="17"/>
        <v>67.054371661793994</v>
      </c>
      <c r="E308" s="23">
        <f>PERCENTILE(D$4:D308,0.8)</f>
        <v>330.96648312991493</v>
      </c>
      <c r="F308" s="23">
        <f t="shared" si="18"/>
        <v>3619.9121114681211</v>
      </c>
      <c r="G308" s="26">
        <f t="shared" si="19"/>
        <v>10528.070310825504</v>
      </c>
    </row>
    <row r="309" spans="1:7" ht="15" customHeight="1" x14ac:dyDescent="0.3">
      <c r="A309" s="17">
        <v>307</v>
      </c>
      <c r="B309" s="17">
        <v>3402</v>
      </c>
      <c r="C309" s="30">
        <f t="shared" si="16"/>
        <v>3302.3565026705646</v>
      </c>
      <c r="D309" s="30">
        <f t="shared" si="17"/>
        <v>99.643497329435377</v>
      </c>
      <c r="E309" s="30">
        <f>PERCENTILE(D$4:D309,0.8)</f>
        <v>330.84447662783577</v>
      </c>
      <c r="F309" s="30">
        <f t="shared" si="18"/>
        <v>3633.2009792984004</v>
      </c>
      <c r="G309" s="32">
        <f t="shared" si="19"/>
        <v>10701.439216561279</v>
      </c>
    </row>
    <row r="310" spans="1:7" ht="15" customHeight="1" x14ac:dyDescent="0.3">
      <c r="A310" s="17">
        <v>308</v>
      </c>
      <c r="B310" s="17">
        <v>3516</v>
      </c>
      <c r="C310" s="23">
        <f t="shared" si="16"/>
        <v>3322.285202136452</v>
      </c>
      <c r="D310" s="23">
        <f t="shared" si="17"/>
        <v>193.71479786354803</v>
      </c>
      <c r="E310" s="23">
        <f>PERCENTILE(D$4:D310,0.8)</f>
        <v>329.48689819102117</v>
      </c>
      <c r="F310" s="23">
        <f t="shared" si="18"/>
        <v>3651.7721003274733</v>
      </c>
      <c r="G310" s="26">
        <f t="shared" si="19"/>
        <v>11142.582319738021</v>
      </c>
    </row>
    <row r="311" spans="1:7" ht="15" customHeight="1" x14ac:dyDescent="0.3">
      <c r="A311" s="17">
        <v>309</v>
      </c>
      <c r="B311" s="17">
        <v>3132</v>
      </c>
      <c r="C311" s="30">
        <f t="shared" si="16"/>
        <v>3361.0281617091614</v>
      </c>
      <c r="D311" s="30">
        <f t="shared" si="17"/>
        <v>-229.0281617091614</v>
      </c>
      <c r="E311" s="30">
        <f>PERCENTILE(D$4:D311,0.8)</f>
        <v>328.12931975420656</v>
      </c>
      <c r="F311" s="30">
        <f t="shared" si="18"/>
        <v>3689.1574814633677</v>
      </c>
      <c r="G311" s="32">
        <f t="shared" si="19"/>
        <v>9576.6740148293065</v>
      </c>
    </row>
    <row r="312" spans="1:7" ht="15" customHeight="1" x14ac:dyDescent="0.3">
      <c r="A312" s="17">
        <v>310</v>
      </c>
      <c r="B312" s="17">
        <v>2821</v>
      </c>
      <c r="C312" s="23">
        <f t="shared" si="16"/>
        <v>3315.2225293673296</v>
      </c>
      <c r="D312" s="23">
        <f t="shared" si="17"/>
        <v>-494.22252936732957</v>
      </c>
      <c r="E312" s="23">
        <f>PERCENTILE(D$4:D312,0.8)</f>
        <v>326.77174131739179</v>
      </c>
      <c r="F312" s="23">
        <f t="shared" si="18"/>
        <v>3641.9942706847214</v>
      </c>
      <c r="G312" s="26">
        <f t="shared" si="19"/>
        <v>8370.4045834522221</v>
      </c>
    </row>
    <row r="313" spans="1:7" ht="15" customHeight="1" x14ac:dyDescent="0.3">
      <c r="A313" s="17">
        <v>311</v>
      </c>
      <c r="B313" s="17">
        <v>3465</v>
      </c>
      <c r="C313" s="30">
        <f t="shared" si="16"/>
        <v>3216.378023493864</v>
      </c>
      <c r="D313" s="30">
        <f t="shared" si="17"/>
        <v>248.62197650613598</v>
      </c>
      <c r="E313" s="30">
        <f>PERCENTILE(D$4:D313,0.8)</f>
        <v>325.41416288057718</v>
      </c>
      <c r="F313" s="30">
        <f t="shared" si="18"/>
        <v>3541.7921863744414</v>
      </c>
      <c r="G313" s="32">
        <f t="shared" si="19"/>
        <v>11026.566250900447</v>
      </c>
    </row>
    <row r="314" spans="1:7" ht="15" customHeight="1" x14ac:dyDescent="0.3">
      <c r="A314" s="17">
        <v>312</v>
      </c>
      <c r="B314" s="17">
        <v>2926</v>
      </c>
      <c r="C314" s="23">
        <f t="shared" si="16"/>
        <v>3266.1024187950916</v>
      </c>
      <c r="D314" s="23">
        <f t="shared" si="17"/>
        <v>-340.10241879509158</v>
      </c>
      <c r="E314" s="23">
        <f>PERCENTILE(D$4:D314,0.8)</f>
        <v>324.0565844437624</v>
      </c>
      <c r="F314" s="23">
        <f t="shared" si="18"/>
        <v>3590.159003238854</v>
      </c>
      <c r="G314" s="26">
        <f t="shared" si="19"/>
        <v>8831.8727974089161</v>
      </c>
    </row>
    <row r="315" spans="1:7" ht="15" customHeight="1" x14ac:dyDescent="0.3">
      <c r="A315" s="17">
        <v>313</v>
      </c>
      <c r="B315" s="17">
        <v>3728</v>
      </c>
      <c r="C315" s="30">
        <f t="shared" si="16"/>
        <v>3198.0819350360734</v>
      </c>
      <c r="D315" s="30">
        <f t="shared" si="17"/>
        <v>529.91806496392655</v>
      </c>
      <c r="E315" s="30">
        <f>PERCENTILE(D$4:D315,0.8)</f>
        <v>329.48689819102117</v>
      </c>
      <c r="F315" s="30">
        <f t="shared" si="18"/>
        <v>3527.5688332270947</v>
      </c>
      <c r="G315" s="32">
        <f t="shared" si="19"/>
        <v>11288.220266326703</v>
      </c>
    </row>
    <row r="316" spans="1:7" ht="15" customHeight="1" x14ac:dyDescent="0.3">
      <c r="A316" s="17">
        <v>314</v>
      </c>
      <c r="B316" s="17">
        <v>3592</v>
      </c>
      <c r="C316" s="23">
        <f t="shared" si="16"/>
        <v>3304.0655480288588</v>
      </c>
      <c r="D316" s="23">
        <f t="shared" si="17"/>
        <v>287.93445197114124</v>
      </c>
      <c r="E316" s="23">
        <f>PERCENTILE(D$4:D316,0.8)</f>
        <v>328.12931975420656</v>
      </c>
      <c r="F316" s="23">
        <f t="shared" si="18"/>
        <v>3632.1948677830651</v>
      </c>
      <c r="G316" s="26">
        <f t="shared" si="19"/>
        <v>11462.244105773549</v>
      </c>
    </row>
    <row r="317" spans="1:7" ht="15" customHeight="1" x14ac:dyDescent="0.3">
      <c r="A317" s="17">
        <v>315</v>
      </c>
      <c r="B317" s="17">
        <v>3180</v>
      </c>
      <c r="C317" s="30">
        <f t="shared" si="16"/>
        <v>3361.6524384230875</v>
      </c>
      <c r="D317" s="30">
        <f t="shared" si="17"/>
        <v>-181.65243842308746</v>
      </c>
      <c r="E317" s="30">
        <f>PERCENTILE(D$4:D317,0.8)</f>
        <v>326.77174131739179</v>
      </c>
      <c r="F317" s="30">
        <f t="shared" si="18"/>
        <v>3688.4241797404793</v>
      </c>
      <c r="G317" s="32">
        <f t="shared" si="19"/>
        <v>9769.2606562076162</v>
      </c>
    </row>
    <row r="318" spans="1:7" ht="15" customHeight="1" x14ac:dyDescent="0.3">
      <c r="A318" s="17">
        <v>316</v>
      </c>
      <c r="B318" s="17">
        <v>3630</v>
      </c>
      <c r="C318" s="23">
        <f t="shared" si="16"/>
        <v>3325.3219507384702</v>
      </c>
      <c r="D318" s="23">
        <f t="shared" si="17"/>
        <v>304.67804926152985</v>
      </c>
      <c r="E318" s="23">
        <f>PERCENTILE(D$4:D318,0.8)</f>
        <v>325.41416288057718</v>
      </c>
      <c r="F318" s="23">
        <f t="shared" si="18"/>
        <v>3650.7361136190475</v>
      </c>
      <c r="G318" s="26">
        <f t="shared" si="19"/>
        <v>11599.411109104762</v>
      </c>
    </row>
    <row r="319" spans="1:7" ht="15" customHeight="1" x14ac:dyDescent="0.3">
      <c r="A319" s="17">
        <v>317</v>
      </c>
      <c r="B319" s="17">
        <v>3207</v>
      </c>
      <c r="C319" s="30">
        <f t="shared" si="16"/>
        <v>3386.2575605907764</v>
      </c>
      <c r="D319" s="30">
        <f t="shared" si="17"/>
        <v>-179.25756059077639</v>
      </c>
      <c r="E319" s="30">
        <f>PERCENTILE(D$4:D319,0.8)</f>
        <v>324.0565844437624</v>
      </c>
      <c r="F319" s="30">
        <f t="shared" si="18"/>
        <v>3710.3141450345388</v>
      </c>
      <c r="G319" s="32">
        <f t="shared" si="19"/>
        <v>9859.7486839723679</v>
      </c>
    </row>
    <row r="320" spans="1:7" ht="15" customHeight="1" x14ac:dyDescent="0.3">
      <c r="A320" s="17">
        <v>318</v>
      </c>
      <c r="B320" s="17">
        <v>3622</v>
      </c>
      <c r="C320" s="23">
        <f t="shared" si="16"/>
        <v>3350.4060484726215</v>
      </c>
      <c r="D320" s="23">
        <f t="shared" si="17"/>
        <v>271.59395152737852</v>
      </c>
      <c r="E320" s="23">
        <f>PERCENTILE(D$4:D320,0.8)</f>
        <v>323.86016571523879</v>
      </c>
      <c r="F320" s="23">
        <f t="shared" si="18"/>
        <v>3674.2662141878604</v>
      </c>
      <c r="G320" s="26">
        <f t="shared" si="19"/>
        <v>11548.587028649712</v>
      </c>
    </row>
    <row r="321" spans="1:7" ht="15" customHeight="1" x14ac:dyDescent="0.3">
      <c r="A321" s="17">
        <v>319</v>
      </c>
      <c r="B321" s="17">
        <v>2961</v>
      </c>
      <c r="C321" s="30">
        <f t="shared" si="16"/>
        <v>3404.7248387780974</v>
      </c>
      <c r="D321" s="30">
        <f t="shared" si="17"/>
        <v>-443.72483877809736</v>
      </c>
      <c r="E321" s="30">
        <f>PERCENTILE(D$4:D321,0.8)</f>
        <v>323.66374698671518</v>
      </c>
      <c r="F321" s="30">
        <f t="shared" si="18"/>
        <v>3728.3885857648124</v>
      </c>
      <c r="G321" s="32">
        <f t="shared" si="19"/>
        <v>8861.2891313881501</v>
      </c>
    </row>
    <row r="322" spans="1:7" ht="15" customHeight="1" x14ac:dyDescent="0.3">
      <c r="A322" s="17">
        <v>320</v>
      </c>
      <c r="B322" s="17">
        <v>3109</v>
      </c>
      <c r="C322" s="23">
        <f t="shared" si="16"/>
        <v>3315.9798710224777</v>
      </c>
      <c r="D322" s="23">
        <f t="shared" si="17"/>
        <v>-206.97987102247771</v>
      </c>
      <c r="E322" s="23">
        <f>PERCENTILE(D$4:D322,0.8)</f>
        <v>323.46732825819151</v>
      </c>
      <c r="F322" s="23">
        <f t="shared" si="18"/>
        <v>3639.4471992806693</v>
      </c>
      <c r="G322" s="26">
        <f t="shared" si="19"/>
        <v>9524.4422405754649</v>
      </c>
    </row>
    <row r="323" spans="1:7" ht="15" customHeight="1" x14ac:dyDescent="0.3">
      <c r="A323" s="17">
        <v>321</v>
      </c>
      <c r="B323" s="17">
        <v>3167</v>
      </c>
      <c r="C323" s="30">
        <f t="shared" si="16"/>
        <v>3274.5838968179823</v>
      </c>
      <c r="D323" s="30">
        <f t="shared" si="17"/>
        <v>-107.58389681798235</v>
      </c>
      <c r="E323" s="30">
        <f>PERCENTILE(D$4:D323,0.8)</f>
        <v>323.27090952966796</v>
      </c>
      <c r="F323" s="30">
        <f t="shared" si="18"/>
        <v>3597.8548063476501</v>
      </c>
      <c r="G323" s="32">
        <f t="shared" si="19"/>
        <v>9789.7161549218799</v>
      </c>
    </row>
    <row r="324" spans="1:7" ht="15" customHeight="1" x14ac:dyDescent="0.3">
      <c r="A324" s="17">
        <v>322</v>
      </c>
      <c r="B324" s="17">
        <v>3035</v>
      </c>
      <c r="C324" s="23">
        <f t="shared" ref="C324:C387" si="20">0.2*B323+0.8*C323</f>
        <v>3253.0671174543863</v>
      </c>
      <c r="D324" s="23">
        <f t="shared" ref="D324:D387" si="21">B324-C324</f>
        <v>-218.06711745438633</v>
      </c>
      <c r="E324" s="23">
        <f>PERCENTILE(D$4:D324,0.8)</f>
        <v>323.07449080114429</v>
      </c>
      <c r="F324" s="23">
        <f t="shared" si="18"/>
        <v>3576.1416082555306</v>
      </c>
      <c r="G324" s="26">
        <f t="shared" si="19"/>
        <v>9279.0867133955762</v>
      </c>
    </row>
    <row r="325" spans="1:7" ht="15" customHeight="1" x14ac:dyDescent="0.3">
      <c r="A325" s="17">
        <v>323</v>
      </c>
      <c r="B325" s="17">
        <v>3319</v>
      </c>
      <c r="C325" s="30">
        <f t="shared" si="20"/>
        <v>3209.4536939635091</v>
      </c>
      <c r="D325" s="30">
        <f t="shared" si="21"/>
        <v>109.54630603649093</v>
      </c>
      <c r="E325" s="30">
        <f>PERCENTILE(D$4:D325,0.8)</f>
        <v>322.73287101627307</v>
      </c>
      <c r="F325" s="30">
        <f t="shared" ref="F325:F388" si="22">C325+E325</f>
        <v>3532.1865649797819</v>
      </c>
      <c r="G325" s="32">
        <f t="shared" ref="G325:G388" si="23">4*MIN(F325,B325)-0.8*F325</f>
        <v>10450.250748016175</v>
      </c>
    </row>
    <row r="326" spans="1:7" ht="15" customHeight="1" x14ac:dyDescent="0.3">
      <c r="A326" s="17">
        <v>324</v>
      </c>
      <c r="B326" s="17">
        <v>3293</v>
      </c>
      <c r="C326" s="23">
        <f t="shared" si="20"/>
        <v>3231.3629551708077</v>
      </c>
      <c r="D326" s="23">
        <f t="shared" si="21"/>
        <v>61.637044829192291</v>
      </c>
      <c r="E326" s="23">
        <f>PERCENTILE(D$4:D326,0.8)</f>
        <v>322.39125123140178</v>
      </c>
      <c r="F326" s="23">
        <f t="shared" si="22"/>
        <v>3553.7542064022095</v>
      </c>
      <c r="G326" s="26">
        <f t="shared" si="23"/>
        <v>10328.996634878233</v>
      </c>
    </row>
    <row r="327" spans="1:7" ht="15" customHeight="1" x14ac:dyDescent="0.3">
      <c r="A327" s="17">
        <v>325</v>
      </c>
      <c r="B327" s="17">
        <v>3153</v>
      </c>
      <c r="C327" s="30">
        <f t="shared" si="20"/>
        <v>3243.6903641366462</v>
      </c>
      <c r="D327" s="30">
        <f t="shared" si="21"/>
        <v>-90.690364136646167</v>
      </c>
      <c r="E327" s="30">
        <f>PERCENTILE(D$4:D327,0.8)</f>
        <v>322.04963144653055</v>
      </c>
      <c r="F327" s="30">
        <f t="shared" si="22"/>
        <v>3565.7399955831766</v>
      </c>
      <c r="G327" s="32">
        <f t="shared" si="23"/>
        <v>9759.4080035334591</v>
      </c>
    </row>
    <row r="328" spans="1:7" ht="15" customHeight="1" x14ac:dyDescent="0.3">
      <c r="A328" s="17">
        <v>326</v>
      </c>
      <c r="B328" s="17">
        <v>3800</v>
      </c>
      <c r="C328" s="23">
        <f t="shared" si="20"/>
        <v>3225.5522913093168</v>
      </c>
      <c r="D328" s="23">
        <f t="shared" si="21"/>
        <v>574.44770869068316</v>
      </c>
      <c r="E328" s="23">
        <f>PERCENTILE(D$4:D328,0.8)</f>
        <v>323.2709095296679</v>
      </c>
      <c r="F328" s="23">
        <f t="shared" si="22"/>
        <v>3548.8232008389846</v>
      </c>
      <c r="G328" s="26">
        <f t="shared" si="23"/>
        <v>11356.23424268475</v>
      </c>
    </row>
    <row r="329" spans="1:7" ht="15" customHeight="1" x14ac:dyDescent="0.3">
      <c r="A329" s="17">
        <v>327</v>
      </c>
      <c r="B329" s="17">
        <v>2818</v>
      </c>
      <c r="C329" s="30">
        <f t="shared" si="20"/>
        <v>3340.4418330474537</v>
      </c>
      <c r="D329" s="30">
        <f t="shared" si="21"/>
        <v>-522.44183304745366</v>
      </c>
      <c r="E329" s="30">
        <f>PERCENTILE(D$4:D329,0.8)</f>
        <v>323.07449080114429</v>
      </c>
      <c r="F329" s="30">
        <f t="shared" si="22"/>
        <v>3663.5163238485979</v>
      </c>
      <c r="G329" s="32">
        <f t="shared" si="23"/>
        <v>8341.1869409211213</v>
      </c>
    </row>
    <row r="330" spans="1:7" ht="15" customHeight="1" x14ac:dyDescent="0.3">
      <c r="A330" s="17">
        <v>328</v>
      </c>
      <c r="B330" s="17">
        <v>3573</v>
      </c>
      <c r="C330" s="23">
        <f t="shared" si="20"/>
        <v>3235.953466437963</v>
      </c>
      <c r="D330" s="23">
        <f t="shared" si="21"/>
        <v>337.04653356203698</v>
      </c>
      <c r="E330" s="23">
        <f>PERCENTILE(D$4:D330,0.8)</f>
        <v>323.86016571523879</v>
      </c>
      <c r="F330" s="23">
        <f t="shared" si="22"/>
        <v>3559.813632153202</v>
      </c>
      <c r="G330" s="26">
        <f t="shared" si="23"/>
        <v>11391.403622890246</v>
      </c>
    </row>
    <row r="331" spans="1:7" ht="15" customHeight="1" x14ac:dyDescent="0.3">
      <c r="A331" s="17">
        <v>329</v>
      </c>
      <c r="B331" s="17">
        <v>3127</v>
      </c>
      <c r="C331" s="30">
        <f t="shared" si="20"/>
        <v>3303.3627731503707</v>
      </c>
      <c r="D331" s="30">
        <f t="shared" si="21"/>
        <v>-176.36277315037069</v>
      </c>
      <c r="E331" s="30">
        <f>PERCENTILE(D$4:D331,0.8)</f>
        <v>323.66374698671518</v>
      </c>
      <c r="F331" s="30">
        <f t="shared" si="22"/>
        <v>3627.0265201370858</v>
      </c>
      <c r="G331" s="32">
        <f t="shared" si="23"/>
        <v>9606.3787838903318</v>
      </c>
    </row>
    <row r="332" spans="1:7" ht="15" customHeight="1" x14ac:dyDescent="0.3">
      <c r="A332" s="17">
        <v>330</v>
      </c>
      <c r="B332" s="17">
        <v>3375</v>
      </c>
      <c r="C332" s="23">
        <f t="shared" si="20"/>
        <v>3268.0902185202967</v>
      </c>
      <c r="D332" s="23">
        <f t="shared" si="21"/>
        <v>106.90978147970327</v>
      </c>
      <c r="E332" s="23">
        <f>PERCENTILE(D$4:D332,0.8)</f>
        <v>323.46732825819157</v>
      </c>
      <c r="F332" s="23">
        <f t="shared" si="22"/>
        <v>3591.5575467784884</v>
      </c>
      <c r="G332" s="26">
        <f t="shared" si="23"/>
        <v>10626.75396257721</v>
      </c>
    </row>
    <row r="333" spans="1:7" ht="15" customHeight="1" x14ac:dyDescent="0.3">
      <c r="A333" s="17">
        <v>331</v>
      </c>
      <c r="B333" s="17">
        <v>3062</v>
      </c>
      <c r="C333" s="30">
        <f t="shared" si="20"/>
        <v>3289.4721748162374</v>
      </c>
      <c r="D333" s="30">
        <f t="shared" si="21"/>
        <v>-227.47217481623738</v>
      </c>
      <c r="E333" s="30">
        <f>PERCENTILE(D$4:D333,0.8)</f>
        <v>323.2709095296679</v>
      </c>
      <c r="F333" s="30">
        <f t="shared" si="22"/>
        <v>3612.7430843459051</v>
      </c>
      <c r="G333" s="32">
        <f t="shared" si="23"/>
        <v>9357.8055325232763</v>
      </c>
    </row>
    <row r="334" spans="1:7" ht="15" customHeight="1" x14ac:dyDescent="0.3">
      <c r="A334" s="17">
        <v>332</v>
      </c>
      <c r="B334" s="17">
        <v>3125</v>
      </c>
      <c r="C334" s="23">
        <f t="shared" si="20"/>
        <v>3243.97773985299</v>
      </c>
      <c r="D334" s="23">
        <f t="shared" si="21"/>
        <v>-118.97773985299</v>
      </c>
      <c r="E334" s="23">
        <f>PERCENTILE(D$4:D334,0.8)</f>
        <v>323.07449080114429</v>
      </c>
      <c r="F334" s="23">
        <f t="shared" si="22"/>
        <v>3567.0522306541343</v>
      </c>
      <c r="G334" s="26">
        <f t="shared" si="23"/>
        <v>9646.3582154766918</v>
      </c>
    </row>
    <row r="335" spans="1:7" ht="15" customHeight="1" x14ac:dyDescent="0.3">
      <c r="A335" s="17">
        <v>333</v>
      </c>
      <c r="B335" s="17">
        <v>3313</v>
      </c>
      <c r="C335" s="30">
        <f t="shared" si="20"/>
        <v>3220.1821918823921</v>
      </c>
      <c r="D335" s="30">
        <f t="shared" si="21"/>
        <v>92.81780811760791</v>
      </c>
      <c r="E335" s="30">
        <f>PERCENTILE(D$4:D335,0.8)</f>
        <v>322.73287101627307</v>
      </c>
      <c r="F335" s="30">
        <f t="shared" si="22"/>
        <v>3542.9150628986654</v>
      </c>
      <c r="G335" s="32">
        <f t="shared" si="23"/>
        <v>10417.667949681068</v>
      </c>
    </row>
    <row r="336" spans="1:7" ht="15" customHeight="1" x14ac:dyDescent="0.3">
      <c r="A336" s="17">
        <v>334</v>
      </c>
      <c r="B336" s="17">
        <v>2992</v>
      </c>
      <c r="C336" s="23">
        <f t="shared" si="20"/>
        <v>3238.7457535059139</v>
      </c>
      <c r="D336" s="23">
        <f t="shared" si="21"/>
        <v>-246.74575350591385</v>
      </c>
      <c r="E336" s="23">
        <f>PERCENTILE(D$4:D336,0.8)</f>
        <v>322.39125123140178</v>
      </c>
      <c r="F336" s="23">
        <f t="shared" si="22"/>
        <v>3561.1370047373157</v>
      </c>
      <c r="G336" s="26">
        <f t="shared" si="23"/>
        <v>9119.0903962101474</v>
      </c>
    </row>
    <row r="337" spans="1:7" ht="15" customHeight="1" x14ac:dyDescent="0.3">
      <c r="A337" s="17">
        <v>335</v>
      </c>
      <c r="B337" s="17">
        <v>2973</v>
      </c>
      <c r="C337" s="30">
        <f t="shared" si="20"/>
        <v>3189.3966028047312</v>
      </c>
      <c r="D337" s="30">
        <f t="shared" si="21"/>
        <v>-216.39660280473117</v>
      </c>
      <c r="E337" s="30">
        <f>PERCENTILE(D$4:D337,0.8)</f>
        <v>322.04963144653055</v>
      </c>
      <c r="F337" s="30">
        <f t="shared" si="22"/>
        <v>3511.4462342512616</v>
      </c>
      <c r="G337" s="32">
        <f t="shared" si="23"/>
        <v>9082.8430125989908</v>
      </c>
    </row>
    <row r="338" spans="1:7" ht="15" customHeight="1" x14ac:dyDescent="0.3">
      <c r="A338" s="17">
        <v>336</v>
      </c>
      <c r="B338" s="17">
        <v>3640</v>
      </c>
      <c r="C338" s="23">
        <f t="shared" si="20"/>
        <v>3146.1172822437852</v>
      </c>
      <c r="D338" s="23">
        <f t="shared" si="21"/>
        <v>493.88271775621479</v>
      </c>
      <c r="E338" s="23">
        <f>PERCENTILE(D$4:D338,0.8)</f>
        <v>323.2709095296679</v>
      </c>
      <c r="F338" s="23">
        <f t="shared" si="22"/>
        <v>3469.3881917734529</v>
      </c>
      <c r="G338" s="26">
        <f t="shared" si="23"/>
        <v>11102.042213675049</v>
      </c>
    </row>
    <row r="339" spans="1:7" ht="15" customHeight="1" x14ac:dyDescent="0.3">
      <c r="A339" s="17">
        <v>337</v>
      </c>
      <c r="B339" s="17">
        <v>3730</v>
      </c>
      <c r="C339" s="30">
        <f t="shared" si="20"/>
        <v>3244.8938257950285</v>
      </c>
      <c r="D339" s="30">
        <f t="shared" si="21"/>
        <v>485.10617420497147</v>
      </c>
      <c r="E339" s="30">
        <f>PERCENTILE(D$4:D339,0.8)</f>
        <v>324.0565844437624</v>
      </c>
      <c r="F339" s="30">
        <f t="shared" si="22"/>
        <v>3568.9504102387909</v>
      </c>
      <c r="G339" s="32">
        <f t="shared" si="23"/>
        <v>11420.641312764132</v>
      </c>
    </row>
    <row r="340" spans="1:7" ht="15" customHeight="1" x14ac:dyDescent="0.3">
      <c r="A340" s="17">
        <v>338</v>
      </c>
      <c r="B340" s="17">
        <v>2939</v>
      </c>
      <c r="C340" s="23">
        <f t="shared" si="20"/>
        <v>3341.9150606360231</v>
      </c>
      <c r="D340" s="23">
        <f t="shared" si="21"/>
        <v>-402.9150606360231</v>
      </c>
      <c r="E340" s="23">
        <f>PERCENTILE(D$4:D340,0.8)</f>
        <v>323.86016571523879</v>
      </c>
      <c r="F340" s="23">
        <f t="shared" si="22"/>
        <v>3665.7752263512621</v>
      </c>
      <c r="G340" s="26">
        <f t="shared" si="23"/>
        <v>8823.3798189189911</v>
      </c>
    </row>
    <row r="341" spans="1:7" ht="15" customHeight="1" x14ac:dyDescent="0.3">
      <c r="A341" s="17">
        <v>339</v>
      </c>
      <c r="B341" s="17">
        <v>3731</v>
      </c>
      <c r="C341" s="30">
        <f t="shared" si="20"/>
        <v>3261.3320485088188</v>
      </c>
      <c r="D341" s="30">
        <f t="shared" si="21"/>
        <v>469.66795149118116</v>
      </c>
      <c r="E341" s="30">
        <f>PERCENTILE(D$4:D341,0.8)</f>
        <v>328.12931975420656</v>
      </c>
      <c r="F341" s="30">
        <f t="shared" si="22"/>
        <v>3589.4613682630252</v>
      </c>
      <c r="G341" s="32">
        <f t="shared" si="23"/>
        <v>11486.27637844168</v>
      </c>
    </row>
    <row r="342" spans="1:7" ht="15" customHeight="1" x14ac:dyDescent="0.3">
      <c r="A342" s="17">
        <v>340</v>
      </c>
      <c r="B342" s="17">
        <v>3778</v>
      </c>
      <c r="C342" s="23">
        <f t="shared" si="20"/>
        <v>3355.2656388070554</v>
      </c>
      <c r="D342" s="23">
        <f t="shared" si="21"/>
        <v>422.73436119294456</v>
      </c>
      <c r="E342" s="23">
        <f>PERCENTILE(D$4:D342,0.8)</f>
        <v>331.08848963199409</v>
      </c>
      <c r="F342" s="23">
        <f t="shared" si="22"/>
        <v>3686.3541284390494</v>
      </c>
      <c r="G342" s="26">
        <f t="shared" si="23"/>
        <v>11796.333211004958</v>
      </c>
    </row>
    <row r="343" spans="1:7" ht="15" customHeight="1" x14ac:dyDescent="0.3">
      <c r="A343" s="17">
        <v>341</v>
      </c>
      <c r="B343" s="17">
        <v>3118</v>
      </c>
      <c r="C343" s="30">
        <f t="shared" si="20"/>
        <v>3439.8125110456444</v>
      </c>
      <c r="D343" s="30">
        <f t="shared" si="21"/>
        <v>-321.81251104564444</v>
      </c>
      <c r="E343" s="30">
        <f>PERCENTILE(D$4:D343,0.8)</f>
        <v>330.96648312991493</v>
      </c>
      <c r="F343" s="30">
        <f t="shared" si="22"/>
        <v>3770.7789941755595</v>
      </c>
      <c r="G343" s="32">
        <f t="shared" si="23"/>
        <v>9455.3768046595524</v>
      </c>
    </row>
    <row r="344" spans="1:7" ht="15" customHeight="1" x14ac:dyDescent="0.3">
      <c r="A344" s="17">
        <v>342</v>
      </c>
      <c r="B344" s="17">
        <v>3824</v>
      </c>
      <c r="C344" s="23">
        <f t="shared" si="20"/>
        <v>3375.4500088365157</v>
      </c>
      <c r="D344" s="23">
        <f t="shared" si="21"/>
        <v>448.54999116348426</v>
      </c>
      <c r="E344" s="23">
        <f>PERCENTILE(D$4:D344,0.8)</f>
        <v>331.45450913823151</v>
      </c>
      <c r="F344" s="23">
        <f t="shared" si="22"/>
        <v>3706.9045179747473</v>
      </c>
      <c r="G344" s="26">
        <f t="shared" si="23"/>
        <v>11862.094457519192</v>
      </c>
    </row>
    <row r="345" spans="1:7" ht="15" customHeight="1" x14ac:dyDescent="0.3">
      <c r="A345" s="17">
        <v>343</v>
      </c>
      <c r="B345" s="17">
        <v>3114</v>
      </c>
      <c r="C345" s="30">
        <f t="shared" si="20"/>
        <v>3465.160007069213</v>
      </c>
      <c r="D345" s="30">
        <f t="shared" si="21"/>
        <v>-351.16000706921295</v>
      </c>
      <c r="E345" s="30">
        <f>PERCENTILE(D$4:D345,0.8)</f>
        <v>331.33250263615236</v>
      </c>
      <c r="F345" s="30">
        <f t="shared" si="22"/>
        <v>3796.4925097053651</v>
      </c>
      <c r="G345" s="32">
        <f t="shared" si="23"/>
        <v>9418.8059922357079</v>
      </c>
    </row>
    <row r="346" spans="1:7" ht="15" customHeight="1" x14ac:dyDescent="0.3">
      <c r="A346" s="17">
        <v>344</v>
      </c>
      <c r="B346" s="17">
        <v>2895</v>
      </c>
      <c r="C346" s="23">
        <f t="shared" si="20"/>
        <v>3394.9280056553707</v>
      </c>
      <c r="D346" s="23">
        <f t="shared" si="21"/>
        <v>-499.92800565537073</v>
      </c>
      <c r="E346" s="23">
        <f>PERCENTILE(D$4:D346,0.8)</f>
        <v>331.21049613407325</v>
      </c>
      <c r="F346" s="23">
        <f t="shared" si="22"/>
        <v>3726.138501789444</v>
      </c>
      <c r="G346" s="26">
        <f t="shared" si="23"/>
        <v>8599.0891985684448</v>
      </c>
    </row>
    <row r="347" spans="1:7" ht="15" customHeight="1" x14ac:dyDescent="0.3">
      <c r="A347" s="17">
        <v>345</v>
      </c>
      <c r="B347" s="17">
        <v>3645</v>
      </c>
      <c r="C347" s="30">
        <f t="shared" si="20"/>
        <v>3294.9424045242968</v>
      </c>
      <c r="D347" s="30">
        <f t="shared" si="21"/>
        <v>350.05759547570324</v>
      </c>
      <c r="E347" s="30">
        <f>PERCENTILE(D$4:D347,0.8)</f>
        <v>331.58827134705973</v>
      </c>
      <c r="F347" s="30">
        <f t="shared" si="22"/>
        <v>3626.5306758713564</v>
      </c>
      <c r="G347" s="32">
        <f t="shared" si="23"/>
        <v>11604.89816278834</v>
      </c>
    </row>
    <row r="348" spans="1:7" ht="15" customHeight="1" x14ac:dyDescent="0.3">
      <c r="A348" s="17">
        <v>346</v>
      </c>
      <c r="B348" s="17">
        <v>3301</v>
      </c>
      <c r="C348" s="23">
        <f t="shared" si="20"/>
        <v>3364.9539236194378</v>
      </c>
      <c r="D348" s="23">
        <f t="shared" si="21"/>
        <v>-63.953923619437774</v>
      </c>
      <c r="E348" s="23">
        <f>PERCENTILE(D$4:D348,0.8)</f>
        <v>331.52139024264562</v>
      </c>
      <c r="F348" s="23">
        <f t="shared" si="22"/>
        <v>3696.4753138620836</v>
      </c>
      <c r="G348" s="26">
        <f t="shared" si="23"/>
        <v>10246.819748910333</v>
      </c>
    </row>
    <row r="349" spans="1:7" ht="15" customHeight="1" x14ac:dyDescent="0.3">
      <c r="A349" s="17">
        <v>347</v>
      </c>
      <c r="B349" s="17">
        <v>3619</v>
      </c>
      <c r="C349" s="30">
        <f t="shared" si="20"/>
        <v>3352.1631388955502</v>
      </c>
      <c r="D349" s="30">
        <f t="shared" si="21"/>
        <v>266.83686110444978</v>
      </c>
      <c r="E349" s="30">
        <f>PERCENTILE(D$4:D349,0.8)</f>
        <v>331.45450913823151</v>
      </c>
      <c r="F349" s="30">
        <f t="shared" si="22"/>
        <v>3683.6176480337817</v>
      </c>
      <c r="G349" s="32">
        <f t="shared" si="23"/>
        <v>11529.105881572974</v>
      </c>
    </row>
    <row r="350" spans="1:7" ht="15" customHeight="1" x14ac:dyDescent="0.3">
      <c r="A350" s="17">
        <v>348</v>
      </c>
      <c r="B350" s="17">
        <v>3859</v>
      </c>
      <c r="C350" s="23">
        <f t="shared" si="20"/>
        <v>3405.5305111164407</v>
      </c>
      <c r="D350" s="23">
        <f t="shared" si="21"/>
        <v>453.46948888355928</v>
      </c>
      <c r="E350" s="23">
        <f>PERCENTILE(D$4:D350,0.8)</f>
        <v>331.72203355588789</v>
      </c>
      <c r="F350" s="23">
        <f t="shared" si="22"/>
        <v>3737.2525446723284</v>
      </c>
      <c r="G350" s="26">
        <f t="shared" si="23"/>
        <v>11959.208142951451</v>
      </c>
    </row>
    <row r="351" spans="1:7" ht="15" customHeight="1" x14ac:dyDescent="0.3">
      <c r="A351" s="17">
        <v>349</v>
      </c>
      <c r="B351" s="17">
        <v>3711</v>
      </c>
      <c r="C351" s="30">
        <f t="shared" si="20"/>
        <v>3496.2244088931529</v>
      </c>
      <c r="D351" s="30">
        <f t="shared" si="21"/>
        <v>214.77559110684706</v>
      </c>
      <c r="E351" s="30">
        <f>PERCENTILE(D$4:D351,0.8)</f>
        <v>331.65515245147384</v>
      </c>
      <c r="F351" s="30">
        <f t="shared" si="22"/>
        <v>3827.8795613446268</v>
      </c>
      <c r="G351" s="32">
        <f t="shared" si="23"/>
        <v>11781.696350924298</v>
      </c>
    </row>
    <row r="352" spans="1:7" ht="15" customHeight="1" x14ac:dyDescent="0.3">
      <c r="A352" s="17">
        <v>350</v>
      </c>
      <c r="B352" s="17">
        <v>3059</v>
      </c>
      <c r="C352" s="23">
        <f t="shared" si="20"/>
        <v>3539.1795271145229</v>
      </c>
      <c r="D352" s="23">
        <f t="shared" si="21"/>
        <v>-480.1795271145229</v>
      </c>
      <c r="E352" s="23">
        <f>PERCENTILE(D$4:D352,0.8)</f>
        <v>331.58827134705973</v>
      </c>
      <c r="F352" s="23">
        <f t="shared" si="22"/>
        <v>3870.7677984615825</v>
      </c>
      <c r="G352" s="26">
        <f t="shared" si="23"/>
        <v>9139.3857612307329</v>
      </c>
    </row>
    <row r="353" spans="1:7" ht="15" customHeight="1" x14ac:dyDescent="0.3">
      <c r="A353" s="17">
        <v>351</v>
      </c>
      <c r="B353" s="17">
        <v>3776</v>
      </c>
      <c r="C353" s="30">
        <f t="shared" si="20"/>
        <v>3443.1436216916186</v>
      </c>
      <c r="D353" s="30">
        <f t="shared" si="21"/>
        <v>332.85637830838141</v>
      </c>
      <c r="E353" s="30">
        <f>PERCENTILE(D$4:D353,0.8)</f>
        <v>332.00240738991789</v>
      </c>
      <c r="F353" s="30">
        <f t="shared" si="22"/>
        <v>3775.1460290815367</v>
      </c>
      <c r="G353" s="32">
        <f t="shared" si="23"/>
        <v>12080.467293060918</v>
      </c>
    </row>
    <row r="354" spans="1:7" ht="15" customHeight="1" x14ac:dyDescent="0.3">
      <c r="A354" s="17">
        <v>352</v>
      </c>
      <c r="B354" s="17">
        <v>3299</v>
      </c>
      <c r="C354" s="23">
        <f t="shared" si="20"/>
        <v>3509.7148973532949</v>
      </c>
      <c r="D354" s="23">
        <f t="shared" si="21"/>
        <v>-210.71489735329487</v>
      </c>
      <c r="E354" s="23">
        <f>PERCENTILE(D$4:D354,0.8)</f>
        <v>331.788914660302</v>
      </c>
      <c r="F354" s="23">
        <f t="shared" si="22"/>
        <v>3841.5038120135969</v>
      </c>
      <c r="G354" s="26">
        <f t="shared" si="23"/>
        <v>10122.796950389122</v>
      </c>
    </row>
    <row r="355" spans="1:7" ht="15" customHeight="1" x14ac:dyDescent="0.3">
      <c r="A355" s="17">
        <v>353</v>
      </c>
      <c r="B355" s="17">
        <v>3275</v>
      </c>
      <c r="C355" s="30">
        <f t="shared" si="20"/>
        <v>3467.5719178826362</v>
      </c>
      <c r="D355" s="30">
        <f t="shared" si="21"/>
        <v>-192.57191788263617</v>
      </c>
      <c r="E355" s="30">
        <f>PERCENTILE(D$4:D355,0.8)</f>
        <v>331.72203355588789</v>
      </c>
      <c r="F355" s="30">
        <f t="shared" si="22"/>
        <v>3799.2939514385239</v>
      </c>
      <c r="G355" s="32">
        <f t="shared" si="23"/>
        <v>10060.564838849181</v>
      </c>
    </row>
    <row r="356" spans="1:7" ht="15" customHeight="1" x14ac:dyDescent="0.3">
      <c r="A356" s="17">
        <v>354</v>
      </c>
      <c r="B356" s="17">
        <v>2980</v>
      </c>
      <c r="C356" s="23">
        <f t="shared" si="20"/>
        <v>3429.0575343061091</v>
      </c>
      <c r="D356" s="23">
        <f t="shared" si="21"/>
        <v>-449.05753430610912</v>
      </c>
      <c r="E356" s="23">
        <f>PERCENTILE(D$4:D356,0.8)</f>
        <v>331.65515245147384</v>
      </c>
      <c r="F356" s="23">
        <f t="shared" si="22"/>
        <v>3760.712686757583</v>
      </c>
      <c r="G356" s="26">
        <f t="shared" si="23"/>
        <v>8911.4298505939332</v>
      </c>
    </row>
    <row r="357" spans="1:7" ht="15" customHeight="1" x14ac:dyDescent="0.3">
      <c r="A357" s="17">
        <v>355</v>
      </c>
      <c r="B357" s="17">
        <v>3097</v>
      </c>
      <c r="C357" s="30">
        <f t="shared" si="20"/>
        <v>3339.2460274448877</v>
      </c>
      <c r="D357" s="30">
        <f t="shared" si="21"/>
        <v>-242.24602744488766</v>
      </c>
      <c r="E357" s="30">
        <f>PERCENTILE(D$4:D357,0.8)</f>
        <v>331.58827134705973</v>
      </c>
      <c r="F357" s="30">
        <f t="shared" si="22"/>
        <v>3670.8342987919473</v>
      </c>
      <c r="G357" s="32">
        <f t="shared" si="23"/>
        <v>9451.3325609664425</v>
      </c>
    </row>
    <row r="358" spans="1:7" ht="15" customHeight="1" x14ac:dyDescent="0.3">
      <c r="A358" s="17">
        <v>356</v>
      </c>
      <c r="B358" s="17">
        <v>3511</v>
      </c>
      <c r="C358" s="23">
        <f t="shared" si="20"/>
        <v>3290.7968219559102</v>
      </c>
      <c r="D358" s="23">
        <f t="shared" si="21"/>
        <v>220.20317804408978</v>
      </c>
      <c r="E358" s="23">
        <f>PERCENTILE(D$4:D358,0.8)</f>
        <v>331.52139024264562</v>
      </c>
      <c r="F358" s="23">
        <f t="shared" si="22"/>
        <v>3622.318212198556</v>
      </c>
      <c r="G358" s="26">
        <f t="shared" si="23"/>
        <v>11146.145430241155</v>
      </c>
    </row>
    <row r="359" spans="1:7" ht="15" customHeight="1" x14ac:dyDescent="0.3">
      <c r="A359" s="17">
        <v>357</v>
      </c>
      <c r="B359" s="17">
        <v>3129</v>
      </c>
      <c r="C359" s="30">
        <f t="shared" si="20"/>
        <v>3334.8374575647285</v>
      </c>
      <c r="D359" s="30">
        <f t="shared" si="21"/>
        <v>-205.83745756472854</v>
      </c>
      <c r="E359" s="30">
        <f>PERCENTILE(D$4:D359,0.8)</f>
        <v>331.45450913823151</v>
      </c>
      <c r="F359" s="30">
        <f t="shared" si="22"/>
        <v>3666.2919667029601</v>
      </c>
      <c r="G359" s="32">
        <f t="shared" si="23"/>
        <v>9582.9664266376312</v>
      </c>
    </row>
    <row r="360" spans="1:7" ht="15" customHeight="1" x14ac:dyDescent="0.3">
      <c r="A360" s="17">
        <v>358</v>
      </c>
      <c r="B360" s="17">
        <v>3504</v>
      </c>
      <c r="C360" s="23">
        <f t="shared" si="20"/>
        <v>3293.6699660517834</v>
      </c>
      <c r="D360" s="23">
        <f t="shared" si="21"/>
        <v>210.33003394821662</v>
      </c>
      <c r="E360" s="23">
        <f>PERCENTILE(D$4:D360,0.8)</f>
        <v>331.33250263615236</v>
      </c>
      <c r="F360" s="23">
        <f t="shared" si="22"/>
        <v>3625.0024686879356</v>
      </c>
      <c r="G360" s="26">
        <f t="shared" si="23"/>
        <v>11115.998025049652</v>
      </c>
    </row>
    <row r="361" spans="1:7" ht="15" customHeight="1" x14ac:dyDescent="0.3">
      <c r="A361" s="17">
        <v>359</v>
      </c>
      <c r="B361" s="17">
        <v>3526</v>
      </c>
      <c r="C361" s="30">
        <f t="shared" si="20"/>
        <v>3335.7359728414272</v>
      </c>
      <c r="D361" s="30">
        <f t="shared" si="21"/>
        <v>190.26402715857284</v>
      </c>
      <c r="E361" s="30">
        <f>PERCENTILE(D$4:D361,0.8)</f>
        <v>331.21049613407325</v>
      </c>
      <c r="F361" s="30">
        <f t="shared" si="22"/>
        <v>3666.9464689755005</v>
      </c>
      <c r="G361" s="32">
        <f t="shared" si="23"/>
        <v>11170.4428248196</v>
      </c>
    </row>
    <row r="362" spans="1:7" ht="15" customHeight="1" x14ac:dyDescent="0.3">
      <c r="A362" s="17">
        <v>360</v>
      </c>
      <c r="B362" s="17">
        <v>3139</v>
      </c>
      <c r="C362" s="23">
        <f t="shared" si="20"/>
        <v>3373.7887782731423</v>
      </c>
      <c r="D362" s="23">
        <f t="shared" si="21"/>
        <v>-234.78877827314227</v>
      </c>
      <c r="E362" s="23">
        <f>PERCENTILE(D$4:D362,0.8)</f>
        <v>331.08848963199409</v>
      </c>
      <c r="F362" s="23">
        <f t="shared" si="22"/>
        <v>3704.8772679051363</v>
      </c>
      <c r="G362" s="26">
        <f t="shared" si="23"/>
        <v>9592.0981856758917</v>
      </c>
    </row>
    <row r="363" spans="1:7" ht="15" customHeight="1" x14ac:dyDescent="0.3">
      <c r="A363" s="17">
        <v>361</v>
      </c>
      <c r="B363" s="17">
        <v>3249</v>
      </c>
      <c r="C363" s="30">
        <f t="shared" si="20"/>
        <v>3326.831022618514</v>
      </c>
      <c r="D363" s="30">
        <f t="shared" si="21"/>
        <v>-77.831022618513998</v>
      </c>
      <c r="E363" s="30">
        <f>PERCENTILE(D$4:D363,0.8)</f>
        <v>330.96648312991493</v>
      </c>
      <c r="F363" s="30">
        <f t="shared" si="22"/>
        <v>3657.7975057484291</v>
      </c>
      <c r="G363" s="32">
        <f t="shared" si="23"/>
        <v>10069.761995401257</v>
      </c>
    </row>
    <row r="364" spans="1:7" ht="15" customHeight="1" x14ac:dyDescent="0.3">
      <c r="A364" s="17">
        <v>362</v>
      </c>
      <c r="B364" s="17">
        <v>3079</v>
      </c>
      <c r="C364" s="23">
        <f t="shared" si="20"/>
        <v>3311.2648180948117</v>
      </c>
      <c r="D364" s="23">
        <f t="shared" si="21"/>
        <v>-232.26481809481174</v>
      </c>
      <c r="E364" s="23">
        <f>PERCENTILE(D$4:D364,0.8)</f>
        <v>330.84447662783577</v>
      </c>
      <c r="F364" s="23">
        <f t="shared" si="22"/>
        <v>3642.1092947226475</v>
      </c>
      <c r="G364" s="26">
        <f t="shared" si="23"/>
        <v>9402.312564221882</v>
      </c>
    </row>
    <row r="365" spans="1:7" ht="15" customHeight="1" x14ac:dyDescent="0.3">
      <c r="A365" s="17">
        <v>363</v>
      </c>
      <c r="B365" s="17">
        <v>3137</v>
      </c>
      <c r="C365" s="30">
        <f t="shared" si="20"/>
        <v>3264.8118544758499</v>
      </c>
      <c r="D365" s="30">
        <f t="shared" si="21"/>
        <v>-127.81185447584994</v>
      </c>
      <c r="E365" s="30">
        <f>PERCENTILE(D$4:D365,0.8)</f>
        <v>329.48689819102117</v>
      </c>
      <c r="F365" s="30">
        <f t="shared" si="22"/>
        <v>3594.2987526668712</v>
      </c>
      <c r="G365" s="32">
        <f t="shared" si="23"/>
        <v>9672.5609978665034</v>
      </c>
    </row>
    <row r="366" spans="1:7" ht="15" customHeight="1" x14ac:dyDescent="0.3">
      <c r="A366" s="17">
        <v>364</v>
      </c>
      <c r="B366" s="17">
        <v>3926</v>
      </c>
      <c r="C366" s="23">
        <f t="shared" si="20"/>
        <v>3239.2494835806801</v>
      </c>
      <c r="D366" s="23">
        <f t="shared" si="21"/>
        <v>686.75051641931987</v>
      </c>
      <c r="E366" s="23">
        <f>PERCENTILE(D$4:D366,0.8)</f>
        <v>331.21049613407325</v>
      </c>
      <c r="F366" s="23">
        <f t="shared" si="22"/>
        <v>3570.4599797147534</v>
      </c>
      <c r="G366" s="26">
        <f t="shared" si="23"/>
        <v>11425.471935087211</v>
      </c>
    </row>
    <row r="367" spans="1:7" ht="15" customHeight="1" x14ac:dyDescent="0.3">
      <c r="A367" s="17">
        <v>365</v>
      </c>
      <c r="B367" s="17">
        <v>3873</v>
      </c>
      <c r="C367" s="30">
        <f t="shared" si="20"/>
        <v>3376.5995868645441</v>
      </c>
      <c r="D367" s="30">
        <f t="shared" si="21"/>
        <v>496.40041313545589</v>
      </c>
      <c r="E367" s="30">
        <f>PERCENTILE(D$4:D367,0.8)</f>
        <v>331.58827134705973</v>
      </c>
      <c r="F367" s="30">
        <f t="shared" si="22"/>
        <v>3708.1878582116037</v>
      </c>
      <c r="G367" s="32">
        <f t="shared" si="23"/>
        <v>11866.201146277132</v>
      </c>
    </row>
    <row r="368" spans="1:7" ht="15" customHeight="1" x14ac:dyDescent="0.3">
      <c r="A368" s="17">
        <v>366</v>
      </c>
      <c r="B368" s="17">
        <v>3430</v>
      </c>
      <c r="C368" s="23">
        <f t="shared" si="20"/>
        <v>3475.8796694916355</v>
      </c>
      <c r="D368" s="23">
        <f t="shared" si="21"/>
        <v>-45.879669491635468</v>
      </c>
      <c r="E368" s="23">
        <f>PERCENTILE(D$4:D368,0.8)</f>
        <v>331.52139024264562</v>
      </c>
      <c r="F368" s="23">
        <f t="shared" si="22"/>
        <v>3807.4010597342813</v>
      </c>
      <c r="G368" s="26">
        <f t="shared" si="23"/>
        <v>10674.079152212575</v>
      </c>
    </row>
    <row r="369" spans="1:7" ht="15" customHeight="1" x14ac:dyDescent="0.3">
      <c r="A369" s="17">
        <v>367</v>
      </c>
      <c r="B369" s="17">
        <v>3729</v>
      </c>
      <c r="C369" s="30">
        <f t="shared" si="20"/>
        <v>3466.7037355933085</v>
      </c>
      <c r="D369" s="30">
        <f t="shared" si="21"/>
        <v>262.29626440669153</v>
      </c>
      <c r="E369" s="30">
        <f>PERCENTILE(D$4:D369,0.8)</f>
        <v>331.45450913823151</v>
      </c>
      <c r="F369" s="30">
        <f t="shared" si="22"/>
        <v>3798.15824473154</v>
      </c>
      <c r="G369" s="32">
        <f t="shared" si="23"/>
        <v>11877.473404214768</v>
      </c>
    </row>
    <row r="370" spans="1:7" ht="15" customHeight="1" x14ac:dyDescent="0.3">
      <c r="A370" s="17">
        <v>368</v>
      </c>
      <c r="B370" s="17">
        <v>3759</v>
      </c>
      <c r="C370" s="23">
        <f t="shared" si="20"/>
        <v>3519.1629884746471</v>
      </c>
      <c r="D370" s="23">
        <f t="shared" si="21"/>
        <v>239.83701152535286</v>
      </c>
      <c r="E370" s="23">
        <f>PERCENTILE(D$4:D370,0.8)</f>
        <v>331.33250263615236</v>
      </c>
      <c r="F370" s="23">
        <f t="shared" si="22"/>
        <v>3850.4954911107993</v>
      </c>
      <c r="G370" s="26">
        <f t="shared" si="23"/>
        <v>11955.603607111359</v>
      </c>
    </row>
    <row r="371" spans="1:7" ht="15" customHeight="1" x14ac:dyDescent="0.3">
      <c r="A371" s="17">
        <v>369</v>
      </c>
      <c r="B371" s="17">
        <v>3279</v>
      </c>
      <c r="C371" s="30">
        <f t="shared" si="20"/>
        <v>3567.1303907797183</v>
      </c>
      <c r="D371" s="30">
        <f t="shared" si="21"/>
        <v>-288.13039077971825</v>
      </c>
      <c r="E371" s="30">
        <f>PERCENTILE(D$4:D371,0.8)</f>
        <v>331.21049613407325</v>
      </c>
      <c r="F371" s="30">
        <f t="shared" si="22"/>
        <v>3898.3408869137916</v>
      </c>
      <c r="G371" s="32">
        <f t="shared" si="23"/>
        <v>9997.3272904689657</v>
      </c>
    </row>
    <row r="372" spans="1:7" ht="15" customHeight="1" x14ac:dyDescent="0.3">
      <c r="A372" s="17">
        <v>370</v>
      </c>
      <c r="B372" s="17">
        <v>3195</v>
      </c>
      <c r="C372" s="23">
        <f t="shared" si="20"/>
        <v>3509.5043126237751</v>
      </c>
      <c r="D372" s="23">
        <f t="shared" si="21"/>
        <v>-314.50431262377515</v>
      </c>
      <c r="E372" s="23">
        <f>PERCENTILE(D$4:D372,0.8)</f>
        <v>331.08848963199409</v>
      </c>
      <c r="F372" s="23">
        <f t="shared" si="22"/>
        <v>3840.5928022557691</v>
      </c>
      <c r="G372" s="26">
        <f t="shared" si="23"/>
        <v>9707.5257581953847</v>
      </c>
    </row>
    <row r="373" spans="1:7" ht="15" customHeight="1" x14ac:dyDescent="0.3">
      <c r="A373" s="17">
        <v>371</v>
      </c>
      <c r="B373" s="17">
        <v>3447</v>
      </c>
      <c r="C373" s="30">
        <f t="shared" si="20"/>
        <v>3446.6034500990204</v>
      </c>
      <c r="D373" s="30">
        <f t="shared" si="21"/>
        <v>0.39654990097960763</v>
      </c>
      <c r="E373" s="30">
        <f>PERCENTILE(D$4:D373,0.8)</f>
        <v>330.96648312991493</v>
      </c>
      <c r="F373" s="30">
        <f t="shared" si="22"/>
        <v>3777.5699332289355</v>
      </c>
      <c r="G373" s="32">
        <f t="shared" si="23"/>
        <v>10765.944053416852</v>
      </c>
    </row>
    <row r="374" spans="1:7" ht="15" customHeight="1" x14ac:dyDescent="0.3">
      <c r="A374" s="17">
        <v>372</v>
      </c>
      <c r="B374" s="17">
        <v>3520</v>
      </c>
      <c r="C374" s="23">
        <f t="shared" si="20"/>
        <v>3446.6827600792167</v>
      </c>
      <c r="D374" s="23">
        <f t="shared" si="21"/>
        <v>73.317239920783322</v>
      </c>
      <c r="E374" s="23">
        <f>PERCENTILE(D$4:D374,0.8)</f>
        <v>330.84447662783577</v>
      </c>
      <c r="F374" s="23">
        <f t="shared" si="22"/>
        <v>3777.5272367070525</v>
      </c>
      <c r="G374" s="26">
        <f t="shared" si="23"/>
        <v>11057.978210634357</v>
      </c>
    </row>
    <row r="375" spans="1:7" ht="15" customHeight="1" x14ac:dyDescent="0.3">
      <c r="A375" s="17">
        <v>373</v>
      </c>
      <c r="B375" s="17">
        <v>3383</v>
      </c>
      <c r="C375" s="30">
        <f t="shared" si="20"/>
        <v>3461.3462080633735</v>
      </c>
      <c r="D375" s="30">
        <f t="shared" si="21"/>
        <v>-78.346208063373524</v>
      </c>
      <c r="E375" s="30">
        <f>PERCENTILE(D$4:D375,0.8)</f>
        <v>329.48689819102117</v>
      </c>
      <c r="F375" s="30">
        <f t="shared" si="22"/>
        <v>3790.8331062543948</v>
      </c>
      <c r="G375" s="32">
        <f t="shared" si="23"/>
        <v>10499.333514996484</v>
      </c>
    </row>
    <row r="376" spans="1:7" ht="15" customHeight="1" x14ac:dyDescent="0.3">
      <c r="A376" s="17">
        <v>374</v>
      </c>
      <c r="B376" s="17">
        <v>3215</v>
      </c>
      <c r="C376" s="23">
        <f t="shared" si="20"/>
        <v>3445.6769664506987</v>
      </c>
      <c r="D376" s="23">
        <f t="shared" si="21"/>
        <v>-230.67696645069873</v>
      </c>
      <c r="E376" s="23">
        <f>PERCENTILE(D$4:D376,0.8)</f>
        <v>328.12931975420656</v>
      </c>
      <c r="F376" s="23">
        <f t="shared" si="22"/>
        <v>3773.8062862049055</v>
      </c>
      <c r="G376" s="26">
        <f t="shared" si="23"/>
        <v>9840.9549710360752</v>
      </c>
    </row>
    <row r="377" spans="1:7" ht="15" customHeight="1" x14ac:dyDescent="0.3">
      <c r="A377" s="17">
        <v>375</v>
      </c>
      <c r="B377" s="17">
        <v>3247</v>
      </c>
      <c r="C377" s="30">
        <f t="shared" si="20"/>
        <v>3399.541573160559</v>
      </c>
      <c r="D377" s="30">
        <f t="shared" si="21"/>
        <v>-152.54157316055898</v>
      </c>
      <c r="E377" s="30">
        <f>PERCENTILE(D$4:D377,0.8)</f>
        <v>326.77174131739196</v>
      </c>
      <c r="F377" s="30">
        <f t="shared" si="22"/>
        <v>3726.3133144779508</v>
      </c>
      <c r="G377" s="32">
        <f t="shared" si="23"/>
        <v>10006.949348417638</v>
      </c>
    </row>
    <row r="378" spans="1:7" ht="15" customHeight="1" x14ac:dyDescent="0.3">
      <c r="A378" s="17">
        <v>376</v>
      </c>
      <c r="B378" s="17">
        <v>3215</v>
      </c>
      <c r="C378" s="23">
        <f t="shared" si="20"/>
        <v>3369.0332585284473</v>
      </c>
      <c r="D378" s="23">
        <f t="shared" si="21"/>
        <v>-154.03325852844728</v>
      </c>
      <c r="E378" s="23">
        <f>PERCENTILE(D$4:D378,0.8)</f>
        <v>325.41416288057701</v>
      </c>
      <c r="F378" s="23">
        <f t="shared" si="22"/>
        <v>3694.4474214090242</v>
      </c>
      <c r="G378" s="26">
        <f t="shared" si="23"/>
        <v>9904.4420628727803</v>
      </c>
    </row>
    <row r="379" spans="1:7" ht="15" customHeight="1" x14ac:dyDescent="0.3">
      <c r="A379" s="17">
        <v>377</v>
      </c>
      <c r="B379" s="17">
        <v>3333</v>
      </c>
      <c r="C379" s="30">
        <f t="shared" si="20"/>
        <v>3338.2266068227582</v>
      </c>
      <c r="D379" s="30">
        <f t="shared" si="21"/>
        <v>-5.2266068227581854</v>
      </c>
      <c r="E379" s="30">
        <f>PERCENTILE(D$4:D379,0.8)</f>
        <v>324.0565844437624</v>
      </c>
      <c r="F379" s="30">
        <f t="shared" si="22"/>
        <v>3662.2831912665206</v>
      </c>
      <c r="G379" s="32">
        <f t="shared" si="23"/>
        <v>10402.173446986784</v>
      </c>
    </row>
    <row r="380" spans="1:7" ht="15" customHeight="1" x14ac:dyDescent="0.3">
      <c r="A380" s="17">
        <v>378</v>
      </c>
      <c r="B380" s="17">
        <v>4008</v>
      </c>
      <c r="C380" s="23">
        <f t="shared" si="20"/>
        <v>3337.1812854582067</v>
      </c>
      <c r="D380" s="23">
        <f t="shared" si="21"/>
        <v>670.81871454179327</v>
      </c>
      <c r="E380" s="23">
        <f>PERCENTILE(D$4:D380,0.8)</f>
        <v>329.48689819102117</v>
      </c>
      <c r="F380" s="23">
        <f t="shared" si="22"/>
        <v>3666.668183649228</v>
      </c>
      <c r="G380" s="26">
        <f t="shared" si="23"/>
        <v>11733.338187677529</v>
      </c>
    </row>
    <row r="381" spans="1:7" ht="15" customHeight="1" x14ac:dyDescent="0.3">
      <c r="A381" s="17">
        <v>379</v>
      </c>
      <c r="B381" s="17">
        <v>3227</v>
      </c>
      <c r="C381" s="30">
        <f t="shared" si="20"/>
        <v>3471.3450283665657</v>
      </c>
      <c r="D381" s="30">
        <f t="shared" si="21"/>
        <v>-244.34502836656566</v>
      </c>
      <c r="E381" s="30">
        <f>PERCENTILE(D$4:D381,0.8)</f>
        <v>328.12931975420656</v>
      </c>
      <c r="F381" s="30">
        <f t="shared" si="22"/>
        <v>3799.4743481207724</v>
      </c>
      <c r="G381" s="32">
        <f t="shared" si="23"/>
        <v>9868.4205215033817</v>
      </c>
    </row>
    <row r="382" spans="1:7" ht="15" customHeight="1" x14ac:dyDescent="0.3">
      <c r="A382" s="17">
        <v>380</v>
      </c>
      <c r="B382" s="17">
        <v>3726</v>
      </c>
      <c r="C382" s="23">
        <f t="shared" si="20"/>
        <v>3422.4760226932526</v>
      </c>
      <c r="D382" s="23">
        <f t="shared" si="21"/>
        <v>303.52397730674738</v>
      </c>
      <c r="E382" s="23">
        <f>PERCENTILE(D$4:D382,0.8)</f>
        <v>326.77174131739196</v>
      </c>
      <c r="F382" s="23">
        <f t="shared" si="22"/>
        <v>3749.2477640106445</v>
      </c>
      <c r="G382" s="26">
        <f t="shared" si="23"/>
        <v>11904.601788791484</v>
      </c>
    </row>
    <row r="383" spans="1:7" ht="15" customHeight="1" x14ac:dyDescent="0.3">
      <c r="A383" s="17">
        <v>381</v>
      </c>
      <c r="B383" s="17">
        <v>3511</v>
      </c>
      <c r="C383" s="30">
        <f t="shared" si="20"/>
        <v>3483.1808181546021</v>
      </c>
      <c r="D383" s="30">
        <f t="shared" si="21"/>
        <v>27.819181845397907</v>
      </c>
      <c r="E383" s="30">
        <f>PERCENTILE(D$4:D383,0.8)</f>
        <v>325.41416288057701</v>
      </c>
      <c r="F383" s="30">
        <f t="shared" si="22"/>
        <v>3808.594981035179</v>
      </c>
      <c r="G383" s="32">
        <f t="shared" si="23"/>
        <v>10997.124015171856</v>
      </c>
    </row>
    <row r="384" spans="1:7" ht="15" customHeight="1" x14ac:dyDescent="0.3">
      <c r="A384" s="17">
        <v>382</v>
      </c>
      <c r="B384" s="17">
        <v>3726</v>
      </c>
      <c r="C384" s="23">
        <f t="shared" si="20"/>
        <v>3488.7446545236817</v>
      </c>
      <c r="D384" s="23">
        <f t="shared" si="21"/>
        <v>237.25534547631833</v>
      </c>
      <c r="E384" s="23">
        <f>PERCENTILE(D$4:D384,0.8)</f>
        <v>324.0565844437624</v>
      </c>
      <c r="F384" s="23">
        <f t="shared" si="22"/>
        <v>3812.8012389674441</v>
      </c>
      <c r="G384" s="26">
        <f t="shared" si="23"/>
        <v>11853.759008826044</v>
      </c>
    </row>
    <row r="385" spans="1:7" ht="15" customHeight="1" x14ac:dyDescent="0.3">
      <c r="A385" s="17">
        <v>383</v>
      </c>
      <c r="B385" s="17">
        <v>3705</v>
      </c>
      <c r="C385" s="30">
        <f t="shared" si="20"/>
        <v>3536.1957236189455</v>
      </c>
      <c r="D385" s="30">
        <f t="shared" si="21"/>
        <v>168.80427638105448</v>
      </c>
      <c r="E385" s="30">
        <f>PERCENTILE(D$4:D385,0.8)</f>
        <v>323.86016571523879</v>
      </c>
      <c r="F385" s="30">
        <f t="shared" si="22"/>
        <v>3860.0558893341845</v>
      </c>
      <c r="G385" s="32">
        <f t="shared" si="23"/>
        <v>11731.955288532652</v>
      </c>
    </row>
    <row r="386" spans="1:7" ht="15" customHeight="1" x14ac:dyDescent="0.3">
      <c r="A386" s="17">
        <v>384</v>
      </c>
      <c r="B386" s="17">
        <v>3319</v>
      </c>
      <c r="C386" s="23">
        <f t="shared" si="20"/>
        <v>3569.9565788951568</v>
      </c>
      <c r="D386" s="23">
        <f t="shared" si="21"/>
        <v>-250.95657889515678</v>
      </c>
      <c r="E386" s="23">
        <f>PERCENTILE(D$4:D386,0.8)</f>
        <v>323.66374698671518</v>
      </c>
      <c r="F386" s="23">
        <f t="shared" si="22"/>
        <v>3893.6203258818718</v>
      </c>
      <c r="G386" s="26">
        <f t="shared" si="23"/>
        <v>10161.103739294502</v>
      </c>
    </row>
    <row r="387" spans="1:7" ht="15" customHeight="1" x14ac:dyDescent="0.3">
      <c r="A387" s="17">
        <v>385</v>
      </c>
      <c r="B387" s="17">
        <v>3222</v>
      </c>
      <c r="C387" s="30">
        <f t="shared" si="20"/>
        <v>3519.7652631161259</v>
      </c>
      <c r="D387" s="30">
        <f t="shared" si="21"/>
        <v>-297.76526311612588</v>
      </c>
      <c r="E387" s="30">
        <f>PERCENTILE(D$4:D387,0.8)</f>
        <v>323.46732825819157</v>
      </c>
      <c r="F387" s="30">
        <f t="shared" si="22"/>
        <v>3843.2325913743175</v>
      </c>
      <c r="G387" s="32">
        <f t="shared" si="23"/>
        <v>9813.4139269005464</v>
      </c>
    </row>
    <row r="388" spans="1:7" ht="15" customHeight="1" x14ac:dyDescent="0.3">
      <c r="A388" s="17">
        <v>386</v>
      </c>
      <c r="B388" s="17">
        <v>3624</v>
      </c>
      <c r="C388" s="23">
        <f t="shared" ref="C388:C451" si="24">0.2*B387+0.8*C387</f>
        <v>3460.2122104929008</v>
      </c>
      <c r="D388" s="23">
        <f t="shared" ref="D388:D451" si="25">B388-C388</f>
        <v>163.78778950709921</v>
      </c>
      <c r="E388" s="23">
        <f>PERCENTILE(D$4:D388,0.8)</f>
        <v>323.27090952966796</v>
      </c>
      <c r="F388" s="23">
        <f t="shared" si="22"/>
        <v>3783.483120022569</v>
      </c>
      <c r="G388" s="26">
        <f t="shared" si="23"/>
        <v>11469.213503981944</v>
      </c>
    </row>
    <row r="389" spans="1:7" ht="15" customHeight="1" x14ac:dyDescent="0.3">
      <c r="A389" s="17">
        <v>387</v>
      </c>
      <c r="B389" s="17">
        <v>3445</v>
      </c>
      <c r="C389" s="30">
        <f t="shared" si="24"/>
        <v>3492.9697683943209</v>
      </c>
      <c r="D389" s="30">
        <f t="shared" si="25"/>
        <v>-47.969768394320909</v>
      </c>
      <c r="E389" s="30">
        <f>PERCENTILE(D$4:D389,0.8)</f>
        <v>323.07449080114429</v>
      </c>
      <c r="F389" s="30">
        <f t="shared" ref="F389:F452" si="26">C389+E389</f>
        <v>3816.0442591954652</v>
      </c>
      <c r="G389" s="32">
        <f t="shared" ref="G389:G452" si="27">4*MIN(F389,B389)-0.8*F389</f>
        <v>10727.164592643629</v>
      </c>
    </row>
    <row r="390" spans="1:7" ht="15" customHeight="1" x14ac:dyDescent="0.3">
      <c r="A390" s="17">
        <v>388</v>
      </c>
      <c r="B390" s="17">
        <v>3298</v>
      </c>
      <c r="C390" s="23">
        <f t="shared" si="24"/>
        <v>3483.3758147154567</v>
      </c>
      <c r="D390" s="23">
        <f t="shared" si="25"/>
        <v>-185.37581471545673</v>
      </c>
      <c r="E390" s="23">
        <f>PERCENTILE(D$4:D390,0.8)</f>
        <v>322.73287101627307</v>
      </c>
      <c r="F390" s="23">
        <f t="shared" si="26"/>
        <v>3806.1086857317296</v>
      </c>
      <c r="G390" s="26">
        <f t="shared" si="27"/>
        <v>10147.113051414617</v>
      </c>
    </row>
    <row r="391" spans="1:7" ht="15" customHeight="1" x14ac:dyDescent="0.3">
      <c r="A391" s="17">
        <v>389</v>
      </c>
      <c r="B391" s="17">
        <v>3626</v>
      </c>
      <c r="C391" s="30">
        <f t="shared" si="24"/>
        <v>3446.3006517723657</v>
      </c>
      <c r="D391" s="30">
        <f t="shared" si="25"/>
        <v>179.69934822763435</v>
      </c>
      <c r="E391" s="30">
        <f>PERCENTILE(D$4:D391,0.8)</f>
        <v>322.39125123140178</v>
      </c>
      <c r="F391" s="30">
        <f t="shared" si="26"/>
        <v>3768.6919030037675</v>
      </c>
      <c r="G391" s="32">
        <f t="shared" si="27"/>
        <v>11489.046477596985</v>
      </c>
    </row>
    <row r="392" spans="1:7" ht="15" customHeight="1" x14ac:dyDescent="0.3">
      <c r="A392" s="17">
        <v>390</v>
      </c>
      <c r="B392" s="17">
        <v>3887</v>
      </c>
      <c r="C392" s="23">
        <f t="shared" si="24"/>
        <v>3482.2405214178925</v>
      </c>
      <c r="D392" s="23">
        <f t="shared" si="25"/>
        <v>404.75947858210748</v>
      </c>
      <c r="E392" s="23">
        <f>PERCENTILE(D$4:D392,0.8)</f>
        <v>323.46732825819157</v>
      </c>
      <c r="F392" s="23">
        <f t="shared" si="26"/>
        <v>3805.7078496760842</v>
      </c>
      <c r="G392" s="26">
        <f t="shared" si="27"/>
        <v>12178.265118963469</v>
      </c>
    </row>
    <row r="393" spans="1:7" ht="15" customHeight="1" x14ac:dyDescent="0.3">
      <c r="A393" s="17">
        <v>391</v>
      </c>
      <c r="B393" s="17">
        <v>3408</v>
      </c>
      <c r="C393" s="30">
        <f t="shared" si="24"/>
        <v>3563.1924171343144</v>
      </c>
      <c r="D393" s="30">
        <f t="shared" si="25"/>
        <v>-155.19241713431438</v>
      </c>
      <c r="E393" s="30">
        <f>PERCENTILE(D$4:D393,0.8)</f>
        <v>323.27090952966796</v>
      </c>
      <c r="F393" s="30">
        <f t="shared" si="26"/>
        <v>3886.4633266639821</v>
      </c>
      <c r="G393" s="32">
        <f t="shared" si="27"/>
        <v>10522.829338668815</v>
      </c>
    </row>
    <row r="394" spans="1:7" ht="15" customHeight="1" x14ac:dyDescent="0.3">
      <c r="A394" s="17">
        <v>392</v>
      </c>
      <c r="B394" s="17">
        <v>3431</v>
      </c>
      <c r="C394" s="23">
        <f t="shared" si="24"/>
        <v>3532.1539337074514</v>
      </c>
      <c r="D394" s="23">
        <f t="shared" si="25"/>
        <v>-101.15393370745142</v>
      </c>
      <c r="E394" s="23">
        <f>PERCENTILE(D$4:D394,0.8)</f>
        <v>323.07449080114429</v>
      </c>
      <c r="F394" s="23">
        <f t="shared" si="26"/>
        <v>3855.2284245085957</v>
      </c>
      <c r="G394" s="26">
        <f t="shared" si="27"/>
        <v>10639.817260393123</v>
      </c>
    </row>
    <row r="395" spans="1:7" ht="15" customHeight="1" x14ac:dyDescent="0.3">
      <c r="A395" s="17">
        <v>393</v>
      </c>
      <c r="B395" s="17">
        <v>3550</v>
      </c>
      <c r="C395" s="30">
        <f t="shared" si="24"/>
        <v>3511.9231469659617</v>
      </c>
      <c r="D395" s="30">
        <f t="shared" si="25"/>
        <v>38.076853034038322</v>
      </c>
      <c r="E395" s="30">
        <f>PERCENTILE(D$4:D395,0.8)</f>
        <v>322.73287101627307</v>
      </c>
      <c r="F395" s="30">
        <f t="shared" si="26"/>
        <v>3834.6560179822345</v>
      </c>
      <c r="G395" s="32">
        <f t="shared" si="27"/>
        <v>11132.275185614213</v>
      </c>
    </row>
    <row r="396" spans="1:7" ht="15" customHeight="1" x14ac:dyDescent="0.3">
      <c r="A396" s="17">
        <v>394</v>
      </c>
      <c r="B396" s="17">
        <v>3878</v>
      </c>
      <c r="C396" s="23">
        <f t="shared" si="24"/>
        <v>3519.5385175727697</v>
      </c>
      <c r="D396" s="23">
        <f t="shared" si="25"/>
        <v>358.46148242723029</v>
      </c>
      <c r="E396" s="23">
        <f>PERCENTILE(D$4:D396,0.8)</f>
        <v>323.66374698671518</v>
      </c>
      <c r="F396" s="23">
        <f t="shared" si="26"/>
        <v>3843.2022645594848</v>
      </c>
      <c r="G396" s="26">
        <f t="shared" si="27"/>
        <v>12298.247246590352</v>
      </c>
    </row>
    <row r="397" spans="1:7" ht="15" customHeight="1" x14ac:dyDescent="0.3">
      <c r="A397" s="17">
        <v>395</v>
      </c>
      <c r="B397" s="17">
        <v>3516</v>
      </c>
      <c r="C397" s="30">
        <f t="shared" si="24"/>
        <v>3591.2308140582159</v>
      </c>
      <c r="D397" s="30">
        <f t="shared" si="25"/>
        <v>-75.230814058215856</v>
      </c>
      <c r="E397" s="30">
        <f>PERCENTILE(D$4:D397,0.8)</f>
        <v>323.46732825819157</v>
      </c>
      <c r="F397" s="30">
        <f t="shared" si="26"/>
        <v>3914.6981423164075</v>
      </c>
      <c r="G397" s="32">
        <f t="shared" si="27"/>
        <v>10932.241486146873</v>
      </c>
    </row>
    <row r="398" spans="1:7" ht="15" customHeight="1" x14ac:dyDescent="0.3">
      <c r="A398" s="17">
        <v>396</v>
      </c>
      <c r="B398" s="17">
        <v>3814</v>
      </c>
      <c r="C398" s="23">
        <f t="shared" si="24"/>
        <v>3576.1846512465727</v>
      </c>
      <c r="D398" s="23">
        <f t="shared" si="25"/>
        <v>237.81534875342732</v>
      </c>
      <c r="E398" s="23">
        <f>PERCENTILE(D$4:D398,0.8)</f>
        <v>323.27090952966796</v>
      </c>
      <c r="F398" s="23">
        <f t="shared" si="26"/>
        <v>3899.4555607762404</v>
      </c>
      <c r="G398" s="26">
        <f t="shared" si="27"/>
        <v>12136.435551379007</v>
      </c>
    </row>
    <row r="399" spans="1:7" ht="15" customHeight="1" x14ac:dyDescent="0.3">
      <c r="A399" s="17">
        <v>397</v>
      </c>
      <c r="B399" s="17">
        <v>3775</v>
      </c>
      <c r="C399" s="30">
        <f t="shared" si="24"/>
        <v>3623.7477209972585</v>
      </c>
      <c r="D399" s="30">
        <f t="shared" si="25"/>
        <v>151.25227900274149</v>
      </c>
      <c r="E399" s="30">
        <f>PERCENTILE(D$4:D399,0.8)</f>
        <v>323.07449080114429</v>
      </c>
      <c r="F399" s="30">
        <f t="shared" si="26"/>
        <v>3946.8222117984028</v>
      </c>
      <c r="G399" s="32">
        <f t="shared" si="27"/>
        <v>11942.542230561277</v>
      </c>
    </row>
    <row r="400" spans="1:7" ht="15" customHeight="1" x14ac:dyDescent="0.3">
      <c r="A400" s="17">
        <v>398</v>
      </c>
      <c r="B400" s="17">
        <v>3797</v>
      </c>
      <c r="C400" s="23">
        <f t="shared" si="24"/>
        <v>3653.998176797807</v>
      </c>
      <c r="D400" s="23">
        <f t="shared" si="25"/>
        <v>143.00182320219301</v>
      </c>
      <c r="E400" s="23">
        <f>PERCENTILE(D$4:D400,0.8)</f>
        <v>322.73287101627307</v>
      </c>
      <c r="F400" s="23">
        <f t="shared" si="26"/>
        <v>3976.7310478140798</v>
      </c>
      <c r="G400" s="26">
        <f t="shared" si="27"/>
        <v>12006.615161748736</v>
      </c>
    </row>
    <row r="401" spans="1:7" ht="15" customHeight="1" x14ac:dyDescent="0.3">
      <c r="A401" s="17">
        <v>399</v>
      </c>
      <c r="B401" s="17">
        <v>3873</v>
      </c>
      <c r="C401" s="30">
        <f t="shared" si="24"/>
        <v>3682.5985414382458</v>
      </c>
      <c r="D401" s="30">
        <f t="shared" si="25"/>
        <v>190.40145856175423</v>
      </c>
      <c r="E401" s="30">
        <f>PERCENTILE(D$4:D401,0.8)</f>
        <v>322.39125123140178</v>
      </c>
      <c r="F401" s="30">
        <f t="shared" si="26"/>
        <v>4004.9897926696476</v>
      </c>
      <c r="G401" s="32">
        <f t="shared" si="27"/>
        <v>12288.008165864281</v>
      </c>
    </row>
    <row r="402" spans="1:7" ht="15" customHeight="1" x14ac:dyDescent="0.3">
      <c r="A402" s="17">
        <v>400</v>
      </c>
      <c r="B402" s="17">
        <v>3335</v>
      </c>
      <c r="C402" s="23">
        <f t="shared" si="24"/>
        <v>3720.6788331505968</v>
      </c>
      <c r="D402" s="23">
        <f t="shared" si="25"/>
        <v>-385.6788331505968</v>
      </c>
      <c r="E402" s="23">
        <f>PERCENTILE(D$4:D402,0.8)</f>
        <v>322.04963144653055</v>
      </c>
      <c r="F402" s="23">
        <f t="shared" si="26"/>
        <v>4042.7284645971272</v>
      </c>
      <c r="G402" s="26">
        <f t="shared" si="27"/>
        <v>10105.817228322298</v>
      </c>
    </row>
    <row r="403" spans="1:7" ht="15" customHeight="1" x14ac:dyDescent="0.3">
      <c r="A403" s="17">
        <v>401</v>
      </c>
      <c r="B403" s="17">
        <v>3941</v>
      </c>
      <c r="C403" s="30">
        <f t="shared" si="24"/>
        <v>3643.5430665204776</v>
      </c>
      <c r="D403" s="30">
        <f t="shared" si="25"/>
        <v>297.45693347952238</v>
      </c>
      <c r="E403" s="30">
        <f>PERCENTILE(D$4:D403,0.8)</f>
        <v>321.70801166165927</v>
      </c>
      <c r="F403" s="30">
        <f t="shared" si="26"/>
        <v>3965.251078182137</v>
      </c>
      <c r="G403" s="32">
        <f t="shared" si="27"/>
        <v>12591.799137454291</v>
      </c>
    </row>
    <row r="404" spans="1:7" ht="15" customHeight="1" x14ac:dyDescent="0.3">
      <c r="A404" s="17">
        <v>402</v>
      </c>
      <c r="B404" s="17">
        <v>3176</v>
      </c>
      <c r="C404" s="23">
        <f t="shared" si="24"/>
        <v>3703.0344532163826</v>
      </c>
      <c r="D404" s="23">
        <f t="shared" si="25"/>
        <v>-527.03445321638264</v>
      </c>
      <c r="E404" s="23">
        <f>PERCENTILE(D$4:D404,0.8)</f>
        <v>321.36639187678793</v>
      </c>
      <c r="F404" s="23">
        <f t="shared" si="26"/>
        <v>4024.4008450931706</v>
      </c>
      <c r="G404" s="26">
        <f t="shared" si="27"/>
        <v>9484.4793239254632</v>
      </c>
    </row>
    <row r="405" spans="1:7" ht="15" customHeight="1" x14ac:dyDescent="0.3">
      <c r="A405" s="17">
        <v>403</v>
      </c>
      <c r="B405" s="17">
        <v>3872</v>
      </c>
      <c r="C405" s="30">
        <f t="shared" si="24"/>
        <v>3597.6275625731059</v>
      </c>
      <c r="D405" s="30">
        <f t="shared" si="25"/>
        <v>274.37243742689407</v>
      </c>
      <c r="E405" s="30">
        <f>PERCENTILE(D$4:D405,0.8)</f>
        <v>321.31967031724463</v>
      </c>
      <c r="F405" s="30">
        <f t="shared" si="26"/>
        <v>3918.9472328903507</v>
      </c>
      <c r="G405" s="32">
        <f t="shared" si="27"/>
        <v>12352.84221368772</v>
      </c>
    </row>
    <row r="406" spans="1:7" ht="15" customHeight="1" x14ac:dyDescent="0.3">
      <c r="A406" s="17">
        <v>404</v>
      </c>
      <c r="B406" s="17">
        <v>3567</v>
      </c>
      <c r="C406" s="23">
        <f t="shared" si="24"/>
        <v>3652.5020500584851</v>
      </c>
      <c r="D406" s="23">
        <f t="shared" si="25"/>
        <v>-85.502050058485111</v>
      </c>
      <c r="E406" s="23">
        <f>PERCENTILE(D$4:D406,0.8)</f>
        <v>321.27294875770133</v>
      </c>
      <c r="F406" s="23">
        <f t="shared" si="26"/>
        <v>3973.7749988161863</v>
      </c>
      <c r="G406" s="26">
        <f t="shared" si="27"/>
        <v>11088.980000947051</v>
      </c>
    </row>
    <row r="407" spans="1:7" ht="15" customHeight="1" x14ac:dyDescent="0.3">
      <c r="A407" s="17">
        <v>405</v>
      </c>
      <c r="B407" s="17">
        <v>3123</v>
      </c>
      <c r="C407" s="30">
        <f t="shared" si="24"/>
        <v>3635.4016400467885</v>
      </c>
      <c r="D407" s="30">
        <f t="shared" si="25"/>
        <v>-512.40164004678854</v>
      </c>
      <c r="E407" s="30">
        <f>PERCENTILE(D$4:D407,0.8)</f>
        <v>321.22622719815803</v>
      </c>
      <c r="F407" s="30">
        <f t="shared" si="26"/>
        <v>3956.6278672449466</v>
      </c>
      <c r="G407" s="32">
        <f t="shared" si="27"/>
        <v>9326.6977062040423</v>
      </c>
    </row>
    <row r="408" spans="1:7" ht="15" customHeight="1" x14ac:dyDescent="0.3">
      <c r="A408" s="17">
        <v>406</v>
      </c>
      <c r="B408" s="17">
        <v>3690</v>
      </c>
      <c r="C408" s="23">
        <f t="shared" si="24"/>
        <v>3532.9213120374311</v>
      </c>
      <c r="D408" s="23">
        <f t="shared" si="25"/>
        <v>157.07868796256889</v>
      </c>
      <c r="E408" s="23">
        <f>PERCENTILE(D$4:D408,0.8)</f>
        <v>321.17950563861467</v>
      </c>
      <c r="F408" s="23">
        <f t="shared" si="26"/>
        <v>3854.1008176760456</v>
      </c>
      <c r="G408" s="26">
        <f t="shared" si="27"/>
        <v>11676.719345859163</v>
      </c>
    </row>
    <row r="409" spans="1:7" ht="15" customHeight="1" x14ac:dyDescent="0.3">
      <c r="A409" s="17">
        <v>407</v>
      </c>
      <c r="B409" s="17">
        <v>3790</v>
      </c>
      <c r="C409" s="30">
        <f t="shared" si="24"/>
        <v>3564.3370496299449</v>
      </c>
      <c r="D409" s="30">
        <f t="shared" si="25"/>
        <v>225.66295037005511</v>
      </c>
      <c r="E409" s="30">
        <f>PERCENTILE(D$4:D409,0.8)</f>
        <v>321.13278407907137</v>
      </c>
      <c r="F409" s="30">
        <f t="shared" si="26"/>
        <v>3885.4698337090163</v>
      </c>
      <c r="G409" s="32">
        <f t="shared" si="27"/>
        <v>12051.624133032787</v>
      </c>
    </row>
    <row r="410" spans="1:7" ht="15" customHeight="1" x14ac:dyDescent="0.3">
      <c r="A410" s="17">
        <v>408</v>
      </c>
      <c r="B410" s="17">
        <v>3263</v>
      </c>
      <c r="C410" s="23">
        <f t="shared" si="24"/>
        <v>3609.4696397039561</v>
      </c>
      <c r="D410" s="23">
        <f t="shared" si="25"/>
        <v>-346.46963970395609</v>
      </c>
      <c r="E410" s="23">
        <f>PERCENTILE(D$4:D410,0.8)</f>
        <v>320.7982184075679</v>
      </c>
      <c r="F410" s="23">
        <f t="shared" si="26"/>
        <v>3930.2678581115242</v>
      </c>
      <c r="G410" s="26">
        <f t="shared" si="27"/>
        <v>9907.7857135107806</v>
      </c>
    </row>
    <row r="411" spans="1:7" ht="15" customHeight="1" x14ac:dyDescent="0.3">
      <c r="A411" s="17">
        <v>409</v>
      </c>
      <c r="B411" s="17">
        <v>3513</v>
      </c>
      <c r="C411" s="30">
        <f t="shared" si="24"/>
        <v>3540.1757117631651</v>
      </c>
      <c r="D411" s="30">
        <f t="shared" si="25"/>
        <v>-27.175711763165054</v>
      </c>
      <c r="E411" s="30">
        <f>PERCENTILE(D$4:D411,0.8)</f>
        <v>320.46365273606438</v>
      </c>
      <c r="F411" s="30">
        <f t="shared" si="26"/>
        <v>3860.6393644992295</v>
      </c>
      <c r="G411" s="32">
        <f t="shared" si="27"/>
        <v>10963.488508400616</v>
      </c>
    </row>
    <row r="412" spans="1:7" ht="15" customHeight="1" x14ac:dyDescent="0.3">
      <c r="A412" s="17">
        <v>410</v>
      </c>
      <c r="B412" s="17">
        <v>3773</v>
      </c>
      <c r="C412" s="23">
        <f t="shared" si="24"/>
        <v>3534.7405694105323</v>
      </c>
      <c r="D412" s="23">
        <f t="shared" si="25"/>
        <v>238.25943058946768</v>
      </c>
      <c r="E412" s="23">
        <f>PERCENTILE(D$4:D412,0.8)</f>
        <v>320.12908706456091</v>
      </c>
      <c r="F412" s="23">
        <f t="shared" si="26"/>
        <v>3854.8696564750931</v>
      </c>
      <c r="G412" s="26">
        <f t="shared" si="27"/>
        <v>12008.104274819925</v>
      </c>
    </row>
    <row r="413" spans="1:7" ht="15" customHeight="1" x14ac:dyDescent="0.3">
      <c r="A413" s="17">
        <v>411</v>
      </c>
      <c r="B413" s="17">
        <v>3647</v>
      </c>
      <c r="C413" s="30">
        <f t="shared" si="24"/>
        <v>3582.3924555284261</v>
      </c>
      <c r="D413" s="30">
        <f t="shared" si="25"/>
        <v>64.607544471573874</v>
      </c>
      <c r="E413" s="30">
        <f>PERCENTILE(D$4:D413,0.8)</f>
        <v>319.79452139305738</v>
      </c>
      <c r="F413" s="30">
        <f t="shared" si="26"/>
        <v>3902.1869769214836</v>
      </c>
      <c r="G413" s="32">
        <f t="shared" si="27"/>
        <v>11466.250418462812</v>
      </c>
    </row>
    <row r="414" spans="1:7" ht="15" customHeight="1" x14ac:dyDescent="0.3">
      <c r="A414" s="17">
        <v>412</v>
      </c>
      <c r="B414" s="17">
        <v>3929</v>
      </c>
      <c r="C414" s="23">
        <f t="shared" si="24"/>
        <v>3595.3139644227413</v>
      </c>
      <c r="D414" s="23">
        <f t="shared" si="25"/>
        <v>333.68603557725874</v>
      </c>
      <c r="E414" s="23">
        <f>PERCENTILE(D$4:D414,0.8)</f>
        <v>321.13278407907137</v>
      </c>
      <c r="F414" s="23">
        <f t="shared" si="26"/>
        <v>3916.4467485018126</v>
      </c>
      <c r="G414" s="26">
        <f t="shared" si="27"/>
        <v>12532.629595205801</v>
      </c>
    </row>
    <row r="415" spans="1:7" ht="15" customHeight="1" x14ac:dyDescent="0.3">
      <c r="A415" s="17">
        <v>413</v>
      </c>
      <c r="B415" s="17">
        <v>3495</v>
      </c>
      <c r="C415" s="30">
        <f t="shared" si="24"/>
        <v>3662.0511715381936</v>
      </c>
      <c r="D415" s="30">
        <f t="shared" si="25"/>
        <v>-167.05117153819356</v>
      </c>
      <c r="E415" s="30">
        <f>PERCENTILE(D$4:D415,0.8)</f>
        <v>320.7982184075679</v>
      </c>
      <c r="F415" s="30">
        <f t="shared" si="26"/>
        <v>3982.8493899457617</v>
      </c>
      <c r="G415" s="32">
        <f t="shared" si="27"/>
        <v>10793.720488043391</v>
      </c>
    </row>
    <row r="416" spans="1:7" ht="15" customHeight="1" x14ac:dyDescent="0.3">
      <c r="A416" s="17">
        <v>414</v>
      </c>
      <c r="B416" s="17">
        <v>3645</v>
      </c>
      <c r="C416" s="23">
        <f t="shared" si="24"/>
        <v>3628.6409372305552</v>
      </c>
      <c r="D416" s="23">
        <f t="shared" si="25"/>
        <v>16.35906276944479</v>
      </c>
      <c r="E416" s="23">
        <f>PERCENTILE(D$4:D416,0.8)</f>
        <v>320.46365273606438</v>
      </c>
      <c r="F416" s="23">
        <f t="shared" si="26"/>
        <v>3949.1045899666196</v>
      </c>
      <c r="G416" s="26">
        <f t="shared" si="27"/>
        <v>11420.716328026705</v>
      </c>
    </row>
    <row r="417" spans="1:7" ht="15" customHeight="1" x14ac:dyDescent="0.3">
      <c r="A417" s="17">
        <v>415</v>
      </c>
      <c r="B417" s="17">
        <v>3501</v>
      </c>
      <c r="C417" s="30">
        <f t="shared" si="24"/>
        <v>3631.9127497844443</v>
      </c>
      <c r="D417" s="30">
        <f t="shared" si="25"/>
        <v>-130.91274978444426</v>
      </c>
      <c r="E417" s="30">
        <f>PERCENTILE(D$4:D417,0.8)</f>
        <v>320.12908706456091</v>
      </c>
      <c r="F417" s="30">
        <f t="shared" si="26"/>
        <v>3952.041836849005</v>
      </c>
      <c r="G417" s="32">
        <f t="shared" si="27"/>
        <v>10842.366530520796</v>
      </c>
    </row>
    <row r="418" spans="1:7" ht="15" customHeight="1" x14ac:dyDescent="0.3">
      <c r="A418" s="17">
        <v>416</v>
      </c>
      <c r="B418" s="17">
        <v>3317</v>
      </c>
      <c r="C418" s="23">
        <f t="shared" si="24"/>
        <v>3605.7301998275552</v>
      </c>
      <c r="D418" s="23">
        <f t="shared" si="25"/>
        <v>-288.73019982755523</v>
      </c>
      <c r="E418" s="23">
        <f>PERCENTILE(D$4:D418,0.8)</f>
        <v>319.79452139305738</v>
      </c>
      <c r="F418" s="23">
        <f t="shared" si="26"/>
        <v>3925.5247212206127</v>
      </c>
      <c r="G418" s="26">
        <f t="shared" si="27"/>
        <v>10127.580223023509</v>
      </c>
    </row>
    <row r="419" spans="1:7" ht="15" customHeight="1" x14ac:dyDescent="0.3">
      <c r="A419" s="17">
        <v>417</v>
      </c>
      <c r="B419" s="17">
        <v>3620</v>
      </c>
      <c r="C419" s="30">
        <f t="shared" si="24"/>
        <v>3547.9841598620446</v>
      </c>
      <c r="D419" s="30">
        <f t="shared" si="25"/>
        <v>72.015840137955365</v>
      </c>
      <c r="E419" s="30">
        <f>PERCENTILE(D$4:D419,0.8)</f>
        <v>319.4599557215538</v>
      </c>
      <c r="F419" s="30">
        <f t="shared" si="26"/>
        <v>3867.4441155835984</v>
      </c>
      <c r="G419" s="32">
        <f t="shared" si="27"/>
        <v>11386.044707533121</v>
      </c>
    </row>
    <row r="420" spans="1:7" ht="15" customHeight="1" x14ac:dyDescent="0.3">
      <c r="A420" s="17">
        <v>418</v>
      </c>
      <c r="B420" s="17">
        <v>4020</v>
      </c>
      <c r="C420" s="23">
        <f t="shared" si="24"/>
        <v>3562.3873278896358</v>
      </c>
      <c r="D420" s="23">
        <f t="shared" si="25"/>
        <v>457.6126721103642</v>
      </c>
      <c r="E420" s="23">
        <f>PERCENTILE(D$4:D420,0.8)</f>
        <v>320.7982184075679</v>
      </c>
      <c r="F420" s="23">
        <f t="shared" si="26"/>
        <v>3883.1855462972035</v>
      </c>
      <c r="G420" s="26">
        <f t="shared" si="27"/>
        <v>12426.19374815105</v>
      </c>
    </row>
    <row r="421" spans="1:7" ht="15" customHeight="1" x14ac:dyDescent="0.3">
      <c r="A421" s="17">
        <v>419</v>
      </c>
      <c r="B421" s="17">
        <v>4160</v>
      </c>
      <c r="C421" s="30">
        <f t="shared" si="24"/>
        <v>3653.9098623117088</v>
      </c>
      <c r="D421" s="30">
        <f t="shared" si="25"/>
        <v>506.09013768829118</v>
      </c>
      <c r="E421" s="30">
        <f>PERCENTILE(D$4:D421,0.8)</f>
        <v>321.27294875770133</v>
      </c>
      <c r="F421" s="30">
        <f t="shared" si="26"/>
        <v>3975.18281106941</v>
      </c>
      <c r="G421" s="32">
        <f t="shared" si="27"/>
        <v>12720.584995422112</v>
      </c>
    </row>
    <row r="422" spans="1:7" ht="15" customHeight="1" x14ac:dyDescent="0.3">
      <c r="A422" s="17">
        <v>420</v>
      </c>
      <c r="B422" s="17">
        <v>3440</v>
      </c>
      <c r="C422" s="23">
        <f t="shared" si="24"/>
        <v>3755.1278898493674</v>
      </c>
      <c r="D422" s="23">
        <f t="shared" si="25"/>
        <v>-315.12788984936742</v>
      </c>
      <c r="E422" s="23">
        <f>PERCENTILE(D$4:D422,0.8)</f>
        <v>321.22622719815803</v>
      </c>
      <c r="F422" s="23">
        <f t="shared" si="26"/>
        <v>4076.3541170475255</v>
      </c>
      <c r="G422" s="26">
        <f t="shared" si="27"/>
        <v>10498.916706361979</v>
      </c>
    </row>
    <row r="423" spans="1:7" ht="15" customHeight="1" x14ac:dyDescent="0.3">
      <c r="A423" s="17">
        <v>421</v>
      </c>
      <c r="B423" s="17">
        <v>3585</v>
      </c>
      <c r="C423" s="30">
        <f t="shared" si="24"/>
        <v>3692.1023118794942</v>
      </c>
      <c r="D423" s="30">
        <f t="shared" si="25"/>
        <v>-107.10231187949421</v>
      </c>
      <c r="E423" s="30">
        <f>PERCENTILE(D$4:D423,0.8)</f>
        <v>321.17950563861467</v>
      </c>
      <c r="F423" s="30">
        <f t="shared" si="26"/>
        <v>4013.2818175181087</v>
      </c>
      <c r="G423" s="32">
        <f t="shared" si="27"/>
        <v>11129.374545985513</v>
      </c>
    </row>
    <row r="424" spans="1:7" ht="15" customHeight="1" x14ac:dyDescent="0.3">
      <c r="A424" s="17">
        <v>422</v>
      </c>
      <c r="B424" s="17">
        <v>3516</v>
      </c>
      <c r="C424" s="23">
        <f t="shared" si="24"/>
        <v>3670.6818495035955</v>
      </c>
      <c r="D424" s="23">
        <f t="shared" si="25"/>
        <v>-154.68184950359546</v>
      </c>
      <c r="E424" s="23">
        <f>PERCENTILE(D$4:D424,0.8)</f>
        <v>321.13278407907137</v>
      </c>
      <c r="F424" s="23">
        <f t="shared" si="26"/>
        <v>3991.8146335826668</v>
      </c>
      <c r="G424" s="26">
        <f t="shared" si="27"/>
        <v>10870.548293133867</v>
      </c>
    </row>
    <row r="425" spans="1:7" ht="15" customHeight="1" x14ac:dyDescent="0.3">
      <c r="A425" s="17">
        <v>423</v>
      </c>
      <c r="B425" s="17">
        <v>4015</v>
      </c>
      <c r="C425" s="30">
        <f t="shared" si="24"/>
        <v>3639.7454796028769</v>
      </c>
      <c r="D425" s="30">
        <f t="shared" si="25"/>
        <v>375.25452039712309</v>
      </c>
      <c r="E425" s="30">
        <f>PERCENTILE(D$4:D425,0.8)</f>
        <v>321.31967031724463</v>
      </c>
      <c r="F425" s="30">
        <f t="shared" si="26"/>
        <v>3961.0651499201217</v>
      </c>
      <c r="G425" s="32">
        <f t="shared" si="27"/>
        <v>12675.40847974439</v>
      </c>
    </row>
    <row r="426" spans="1:7" ht="15" customHeight="1" x14ac:dyDescent="0.3">
      <c r="A426" s="17">
        <v>424</v>
      </c>
      <c r="B426" s="17">
        <v>3265</v>
      </c>
      <c r="C426" s="23">
        <f t="shared" si="24"/>
        <v>3714.7963836823019</v>
      </c>
      <c r="D426" s="23">
        <f t="shared" si="25"/>
        <v>-449.79638368230189</v>
      </c>
      <c r="E426" s="23">
        <f>PERCENTILE(D$4:D426,0.8)</f>
        <v>321.27294875770133</v>
      </c>
      <c r="F426" s="23">
        <f t="shared" si="26"/>
        <v>4036.0693324400031</v>
      </c>
      <c r="G426" s="26">
        <f t="shared" si="27"/>
        <v>9831.1445340479968</v>
      </c>
    </row>
    <row r="427" spans="1:7" ht="15" customHeight="1" x14ac:dyDescent="0.3">
      <c r="A427" s="17">
        <v>425</v>
      </c>
      <c r="B427" s="17">
        <v>3958</v>
      </c>
      <c r="C427" s="30">
        <f t="shared" si="24"/>
        <v>3624.8371069458417</v>
      </c>
      <c r="D427" s="30">
        <f t="shared" si="25"/>
        <v>333.1628930541583</v>
      </c>
      <c r="E427" s="30">
        <f>PERCENTILE(D$4:D427,0.8)</f>
        <v>322.04963144653055</v>
      </c>
      <c r="F427" s="30">
        <f t="shared" si="26"/>
        <v>3946.8867383923721</v>
      </c>
      <c r="G427" s="32">
        <f t="shared" si="27"/>
        <v>12630.03756285559</v>
      </c>
    </row>
    <row r="428" spans="1:7" ht="15" customHeight="1" x14ac:dyDescent="0.3">
      <c r="A428" s="17">
        <v>426</v>
      </c>
      <c r="B428" s="17">
        <v>3771</v>
      </c>
      <c r="C428" s="23">
        <f t="shared" si="24"/>
        <v>3691.4696855566735</v>
      </c>
      <c r="D428" s="23">
        <f t="shared" si="25"/>
        <v>79.530314443326461</v>
      </c>
      <c r="E428" s="23">
        <f>PERCENTILE(D$4:D428,0.8)</f>
        <v>321.70801166165927</v>
      </c>
      <c r="F428" s="23">
        <f t="shared" si="26"/>
        <v>4013.1776972183329</v>
      </c>
      <c r="G428" s="26">
        <f t="shared" si="27"/>
        <v>11873.457842225333</v>
      </c>
    </row>
    <row r="429" spans="1:7" ht="15" customHeight="1" x14ac:dyDescent="0.3">
      <c r="A429" s="17">
        <v>427</v>
      </c>
      <c r="B429" s="17">
        <v>3535</v>
      </c>
      <c r="C429" s="30">
        <f t="shared" si="24"/>
        <v>3707.375748445339</v>
      </c>
      <c r="D429" s="30">
        <f t="shared" si="25"/>
        <v>-172.37574844533901</v>
      </c>
      <c r="E429" s="30">
        <f>PERCENTILE(D$4:D429,0.8)</f>
        <v>321.36639187678793</v>
      </c>
      <c r="F429" s="30">
        <f t="shared" si="26"/>
        <v>4028.7421403221269</v>
      </c>
      <c r="G429" s="32">
        <f t="shared" si="27"/>
        <v>10917.006287742299</v>
      </c>
    </row>
    <row r="430" spans="1:7" ht="15" customHeight="1" x14ac:dyDescent="0.3">
      <c r="A430" s="17">
        <v>428</v>
      </c>
      <c r="B430" s="17">
        <v>4061</v>
      </c>
      <c r="C430" s="23">
        <f t="shared" si="24"/>
        <v>3672.9005987562714</v>
      </c>
      <c r="D430" s="23">
        <f t="shared" si="25"/>
        <v>388.09940124372861</v>
      </c>
      <c r="E430" s="23">
        <f>PERCENTILE(D$4:D430,0.8)</f>
        <v>322.73287101627307</v>
      </c>
      <c r="F430" s="23">
        <f t="shared" si="26"/>
        <v>3995.6334697725442</v>
      </c>
      <c r="G430" s="26">
        <f t="shared" si="27"/>
        <v>12786.027103272141</v>
      </c>
    </row>
    <row r="431" spans="1:7" ht="15" customHeight="1" x14ac:dyDescent="0.3">
      <c r="A431" s="17">
        <v>429</v>
      </c>
      <c r="B431" s="17">
        <v>3517</v>
      </c>
      <c r="C431" s="30">
        <f t="shared" si="24"/>
        <v>3750.5204790050175</v>
      </c>
      <c r="D431" s="30">
        <f t="shared" si="25"/>
        <v>-233.52047900501748</v>
      </c>
      <c r="E431" s="30">
        <f>PERCENTILE(D$4:D431,0.8)</f>
        <v>322.39125123140178</v>
      </c>
      <c r="F431" s="30">
        <f t="shared" si="26"/>
        <v>4072.9117302364193</v>
      </c>
      <c r="G431" s="32">
        <f t="shared" si="27"/>
        <v>10809.670615810865</v>
      </c>
    </row>
    <row r="432" spans="1:7" ht="15" customHeight="1" x14ac:dyDescent="0.3">
      <c r="A432" s="17">
        <v>430</v>
      </c>
      <c r="B432" s="17">
        <v>3840</v>
      </c>
      <c r="C432" s="23">
        <f t="shared" si="24"/>
        <v>3703.8163832040141</v>
      </c>
      <c r="D432" s="23">
        <f t="shared" si="25"/>
        <v>136.18361679598593</v>
      </c>
      <c r="E432" s="23">
        <f>PERCENTILE(D$4:D432,0.8)</f>
        <v>322.04963144653055</v>
      </c>
      <c r="F432" s="23">
        <f t="shared" si="26"/>
        <v>4025.8660146505445</v>
      </c>
      <c r="G432" s="26">
        <f t="shared" si="27"/>
        <v>12139.307188279565</v>
      </c>
    </row>
    <row r="433" spans="1:7" ht="15" customHeight="1" x14ac:dyDescent="0.3">
      <c r="A433" s="17">
        <v>431</v>
      </c>
      <c r="B433" s="17">
        <v>3322</v>
      </c>
      <c r="C433" s="30">
        <f t="shared" si="24"/>
        <v>3731.0531065632113</v>
      </c>
      <c r="D433" s="30">
        <f t="shared" si="25"/>
        <v>-409.05310656321126</v>
      </c>
      <c r="E433" s="30">
        <f>PERCENTILE(D$4:D433,0.8)</f>
        <v>321.70801166165927</v>
      </c>
      <c r="F433" s="30">
        <f t="shared" si="26"/>
        <v>4052.7611182248706</v>
      </c>
      <c r="G433" s="32">
        <f t="shared" si="27"/>
        <v>10045.791105420103</v>
      </c>
    </row>
    <row r="434" spans="1:7" ht="15" customHeight="1" x14ac:dyDescent="0.3">
      <c r="A434" s="17">
        <v>432</v>
      </c>
      <c r="B434" s="17">
        <v>3877</v>
      </c>
      <c r="C434" s="23">
        <f t="shared" si="24"/>
        <v>3649.2424852505692</v>
      </c>
      <c r="D434" s="23">
        <f t="shared" si="25"/>
        <v>227.75751474943081</v>
      </c>
      <c r="E434" s="23">
        <f>PERCENTILE(D$4:D434,0.8)</f>
        <v>321.36639187678793</v>
      </c>
      <c r="F434" s="23">
        <f t="shared" si="26"/>
        <v>3970.6088771273571</v>
      </c>
      <c r="G434" s="26">
        <f t="shared" si="27"/>
        <v>12331.512898298115</v>
      </c>
    </row>
    <row r="435" spans="1:7" ht="15" customHeight="1" x14ac:dyDescent="0.3">
      <c r="A435" s="17">
        <v>433</v>
      </c>
      <c r="B435" s="17">
        <v>3767</v>
      </c>
      <c r="C435" s="30">
        <f t="shared" si="24"/>
        <v>3694.7939882004557</v>
      </c>
      <c r="D435" s="30">
        <f t="shared" si="25"/>
        <v>72.206011799544285</v>
      </c>
      <c r="E435" s="30">
        <f>PERCENTILE(D$4:D435,0.8)</f>
        <v>321.31967031724463</v>
      </c>
      <c r="F435" s="30">
        <f t="shared" si="26"/>
        <v>4016.1136585177005</v>
      </c>
      <c r="G435" s="32">
        <f t="shared" si="27"/>
        <v>11855.109073185838</v>
      </c>
    </row>
    <row r="436" spans="1:7" ht="15" customHeight="1" x14ac:dyDescent="0.3">
      <c r="A436" s="17">
        <v>434</v>
      </c>
      <c r="B436" s="17">
        <v>3584</v>
      </c>
      <c r="C436" s="23">
        <f t="shared" si="24"/>
        <v>3709.235190560365</v>
      </c>
      <c r="D436" s="23">
        <f t="shared" si="25"/>
        <v>-125.23519056036503</v>
      </c>
      <c r="E436" s="23">
        <f>PERCENTILE(D$4:D436,0.8)</f>
        <v>321.27294875770133</v>
      </c>
      <c r="F436" s="23">
        <f t="shared" si="26"/>
        <v>4030.5081393180662</v>
      </c>
      <c r="G436" s="26">
        <f t="shared" si="27"/>
        <v>11111.593488545546</v>
      </c>
    </row>
    <row r="437" spans="1:7" ht="15" customHeight="1" x14ac:dyDescent="0.3">
      <c r="A437" s="17">
        <v>435</v>
      </c>
      <c r="B437" s="17">
        <v>4192</v>
      </c>
      <c r="C437" s="30">
        <f t="shared" si="24"/>
        <v>3684.1881524482924</v>
      </c>
      <c r="D437" s="30">
        <f t="shared" si="25"/>
        <v>507.81184755170761</v>
      </c>
      <c r="E437" s="30">
        <f>PERCENTILE(D$4:D437,0.8)</f>
        <v>322.04963144653055</v>
      </c>
      <c r="F437" s="30">
        <f t="shared" si="26"/>
        <v>4006.2377838948228</v>
      </c>
      <c r="G437" s="32">
        <f t="shared" si="27"/>
        <v>12819.960908463432</v>
      </c>
    </row>
    <row r="438" spans="1:7" ht="15" customHeight="1" x14ac:dyDescent="0.3">
      <c r="A438" s="17">
        <v>436</v>
      </c>
      <c r="B438" s="17">
        <v>4083</v>
      </c>
      <c r="C438" s="23">
        <f t="shared" si="24"/>
        <v>3785.7505219586342</v>
      </c>
      <c r="D438" s="23">
        <f t="shared" si="25"/>
        <v>297.24947804136582</v>
      </c>
      <c r="E438" s="23">
        <f>PERCENTILE(D$4:D438,0.8)</f>
        <v>321.70801166165927</v>
      </c>
      <c r="F438" s="23">
        <f t="shared" si="26"/>
        <v>4107.4585336202936</v>
      </c>
      <c r="G438" s="26">
        <f t="shared" si="27"/>
        <v>13046.033173103766</v>
      </c>
    </row>
    <row r="439" spans="1:7" ht="15" customHeight="1" x14ac:dyDescent="0.3">
      <c r="A439" s="17">
        <v>437</v>
      </c>
      <c r="B439" s="17">
        <v>4069</v>
      </c>
      <c r="C439" s="30">
        <f t="shared" si="24"/>
        <v>3845.2004175669076</v>
      </c>
      <c r="D439" s="30">
        <f t="shared" si="25"/>
        <v>223.79958243309238</v>
      </c>
      <c r="E439" s="30">
        <f>PERCENTILE(D$4:D439,0.8)</f>
        <v>321.36639187678793</v>
      </c>
      <c r="F439" s="30">
        <f t="shared" si="26"/>
        <v>4166.5668094436951</v>
      </c>
      <c r="G439" s="32">
        <f t="shared" si="27"/>
        <v>12942.746552445044</v>
      </c>
    </row>
    <row r="440" spans="1:7" ht="15" customHeight="1" x14ac:dyDescent="0.3">
      <c r="A440" s="17">
        <v>438</v>
      </c>
      <c r="B440" s="17">
        <v>3946</v>
      </c>
      <c r="C440" s="23">
        <f t="shared" si="24"/>
        <v>3889.9603340535264</v>
      </c>
      <c r="D440" s="23">
        <f t="shared" si="25"/>
        <v>56.039665946473633</v>
      </c>
      <c r="E440" s="23">
        <f>PERCENTILE(D$4:D440,0.8)</f>
        <v>321.31967031724463</v>
      </c>
      <c r="F440" s="23">
        <f t="shared" si="26"/>
        <v>4211.2800043707712</v>
      </c>
      <c r="G440" s="26">
        <f t="shared" si="27"/>
        <v>12414.975996503383</v>
      </c>
    </row>
    <row r="441" spans="1:7" ht="15" customHeight="1" x14ac:dyDescent="0.3">
      <c r="A441" s="17">
        <v>439</v>
      </c>
      <c r="B441" s="17">
        <v>3682</v>
      </c>
      <c r="C441" s="30">
        <f t="shared" si="24"/>
        <v>3901.1682672428215</v>
      </c>
      <c r="D441" s="30">
        <f t="shared" si="25"/>
        <v>-219.16826724282146</v>
      </c>
      <c r="E441" s="30">
        <f>PERCENTILE(D$4:D441,0.8)</f>
        <v>321.27294875770133</v>
      </c>
      <c r="F441" s="30">
        <f t="shared" si="26"/>
        <v>4222.4412160005231</v>
      </c>
      <c r="G441" s="32">
        <f t="shared" si="27"/>
        <v>11350.047027199582</v>
      </c>
    </row>
    <row r="442" spans="1:7" ht="15" customHeight="1" x14ac:dyDescent="0.3">
      <c r="A442" s="17">
        <v>440</v>
      </c>
      <c r="B442" s="17">
        <v>4187</v>
      </c>
      <c r="C442" s="23">
        <f t="shared" si="24"/>
        <v>3857.3346137942576</v>
      </c>
      <c r="D442" s="23">
        <f t="shared" si="25"/>
        <v>329.66538620574238</v>
      </c>
      <c r="E442" s="23">
        <f>PERCENTILE(D$4:D442,0.8)</f>
        <v>322.04963144653055</v>
      </c>
      <c r="F442" s="23">
        <f t="shared" si="26"/>
        <v>4179.384245240788</v>
      </c>
      <c r="G442" s="26">
        <f t="shared" si="27"/>
        <v>13374.029584770522</v>
      </c>
    </row>
    <row r="443" spans="1:7" ht="15" customHeight="1" x14ac:dyDescent="0.3">
      <c r="A443" s="17">
        <v>441</v>
      </c>
      <c r="B443" s="17">
        <v>4173</v>
      </c>
      <c r="C443" s="30">
        <f t="shared" si="24"/>
        <v>3923.2676910354062</v>
      </c>
      <c r="D443" s="30">
        <f t="shared" si="25"/>
        <v>249.73230896459381</v>
      </c>
      <c r="E443" s="30">
        <f>PERCENTILE(D$4:D443,0.8)</f>
        <v>321.70801166165927</v>
      </c>
      <c r="F443" s="30">
        <f t="shared" si="26"/>
        <v>4244.9757026970656</v>
      </c>
      <c r="G443" s="32">
        <f t="shared" si="27"/>
        <v>13296.019437842348</v>
      </c>
    </row>
    <row r="444" spans="1:7" ht="15" customHeight="1" x14ac:dyDescent="0.3">
      <c r="A444" s="17">
        <v>442</v>
      </c>
      <c r="B444" s="17">
        <v>3508</v>
      </c>
      <c r="C444" s="23">
        <f t="shared" si="24"/>
        <v>3973.214152828325</v>
      </c>
      <c r="D444" s="23">
        <f t="shared" si="25"/>
        <v>-465.21415282832504</v>
      </c>
      <c r="E444" s="23">
        <f>PERCENTILE(D$4:D444,0.8)</f>
        <v>321.36639187678793</v>
      </c>
      <c r="F444" s="23">
        <f t="shared" si="26"/>
        <v>4294.5805447051134</v>
      </c>
      <c r="G444" s="26">
        <f t="shared" si="27"/>
        <v>10596.335564235909</v>
      </c>
    </row>
    <row r="445" spans="1:7" ht="15" customHeight="1" x14ac:dyDescent="0.3">
      <c r="A445" s="17">
        <v>443</v>
      </c>
      <c r="B445" s="17">
        <v>3557</v>
      </c>
      <c r="C445" s="30">
        <f t="shared" si="24"/>
        <v>3880.1713222626599</v>
      </c>
      <c r="D445" s="30">
        <f t="shared" si="25"/>
        <v>-323.17132226265994</v>
      </c>
      <c r="E445" s="30">
        <f>PERCENTILE(D$4:D445,0.8)</f>
        <v>321.31967031724463</v>
      </c>
      <c r="F445" s="30">
        <f t="shared" si="26"/>
        <v>4201.4909925799047</v>
      </c>
      <c r="G445" s="32">
        <f t="shared" si="27"/>
        <v>10866.807205936077</v>
      </c>
    </row>
    <row r="446" spans="1:7" ht="15" customHeight="1" x14ac:dyDescent="0.3">
      <c r="A446" s="17">
        <v>444</v>
      </c>
      <c r="B446" s="17">
        <v>4188</v>
      </c>
      <c r="C446" s="23">
        <f t="shared" si="24"/>
        <v>3815.5370578101283</v>
      </c>
      <c r="D446" s="23">
        <f t="shared" si="25"/>
        <v>372.46294218987168</v>
      </c>
      <c r="E446" s="23">
        <f>PERCENTILE(D$4:D446,0.8)</f>
        <v>322.39125123140178</v>
      </c>
      <c r="F446" s="23">
        <f t="shared" si="26"/>
        <v>4137.9283090415302</v>
      </c>
      <c r="G446" s="26">
        <f t="shared" si="27"/>
        <v>13241.370588932896</v>
      </c>
    </row>
    <row r="447" spans="1:7" ht="15" customHeight="1" x14ac:dyDescent="0.3">
      <c r="A447" s="17">
        <v>445</v>
      </c>
      <c r="B447" s="17">
        <v>3880</v>
      </c>
      <c r="C447" s="30">
        <f t="shared" si="24"/>
        <v>3890.0296462481028</v>
      </c>
      <c r="D447" s="30">
        <f t="shared" si="25"/>
        <v>-10.029646248102836</v>
      </c>
      <c r="E447" s="30">
        <f>PERCENTILE(D$4:D447,0.8)</f>
        <v>322.04963144653055</v>
      </c>
      <c r="F447" s="30">
        <f t="shared" si="26"/>
        <v>4212.0792776946337</v>
      </c>
      <c r="G447" s="32">
        <f t="shared" si="27"/>
        <v>12150.336577844293</v>
      </c>
    </row>
    <row r="448" spans="1:7" ht="15" customHeight="1" x14ac:dyDescent="0.3">
      <c r="A448" s="17">
        <v>446</v>
      </c>
      <c r="B448" s="17">
        <v>3718</v>
      </c>
      <c r="C448" s="23">
        <f t="shared" si="24"/>
        <v>3888.0237169984825</v>
      </c>
      <c r="D448" s="23">
        <f t="shared" si="25"/>
        <v>-170.02371699848254</v>
      </c>
      <c r="E448" s="23">
        <f>PERCENTILE(D$4:D448,0.8)</f>
        <v>321.70801166165927</v>
      </c>
      <c r="F448" s="23">
        <f t="shared" si="26"/>
        <v>4209.7317286601419</v>
      </c>
      <c r="G448" s="26">
        <f t="shared" si="27"/>
        <v>11504.214617071886</v>
      </c>
    </row>
    <row r="449" spans="1:7" ht="15" customHeight="1" x14ac:dyDescent="0.3">
      <c r="A449" s="17">
        <v>447</v>
      </c>
      <c r="B449" s="17">
        <v>3321</v>
      </c>
      <c r="C449" s="30">
        <f t="shared" si="24"/>
        <v>3854.018973598786</v>
      </c>
      <c r="D449" s="30">
        <f t="shared" si="25"/>
        <v>-533.01897359878603</v>
      </c>
      <c r="E449" s="30">
        <f>PERCENTILE(D$4:D449,0.8)</f>
        <v>321.36639187678793</v>
      </c>
      <c r="F449" s="30">
        <f t="shared" si="26"/>
        <v>4175.385365475574</v>
      </c>
      <c r="G449" s="32">
        <f t="shared" si="27"/>
        <v>9943.6917076195405</v>
      </c>
    </row>
    <row r="450" spans="1:7" ht="15" customHeight="1" x14ac:dyDescent="0.3">
      <c r="A450" s="17">
        <v>448</v>
      </c>
      <c r="B450" s="17">
        <v>4215</v>
      </c>
      <c r="C450" s="23">
        <f t="shared" si="24"/>
        <v>3747.4151788790286</v>
      </c>
      <c r="D450" s="23">
        <f t="shared" si="25"/>
        <v>467.58482112097136</v>
      </c>
      <c r="E450" s="23">
        <f>PERCENTILE(D$4:D450,0.8)</f>
        <v>322.73287101627307</v>
      </c>
      <c r="F450" s="23">
        <f t="shared" si="26"/>
        <v>4070.1480498953015</v>
      </c>
      <c r="G450" s="26">
        <f t="shared" si="27"/>
        <v>13024.473759664965</v>
      </c>
    </row>
    <row r="451" spans="1:7" ht="15" customHeight="1" x14ac:dyDescent="0.3">
      <c r="A451" s="17">
        <v>449</v>
      </c>
      <c r="B451" s="17">
        <v>3580</v>
      </c>
      <c r="C451" s="30">
        <f t="shared" si="24"/>
        <v>3840.9321431032231</v>
      </c>
      <c r="D451" s="30">
        <f t="shared" si="25"/>
        <v>-260.9321431032231</v>
      </c>
      <c r="E451" s="30">
        <f>PERCENTILE(D$4:D451,0.8)</f>
        <v>322.39125123140178</v>
      </c>
      <c r="F451" s="30">
        <f t="shared" si="26"/>
        <v>4163.3233943346249</v>
      </c>
      <c r="G451" s="32">
        <f t="shared" si="27"/>
        <v>10989.3412845323</v>
      </c>
    </row>
    <row r="452" spans="1:7" ht="15" customHeight="1" x14ac:dyDescent="0.3">
      <c r="A452" s="17">
        <v>450</v>
      </c>
      <c r="B452" s="17">
        <v>4169</v>
      </c>
      <c r="C452" s="23">
        <f t="shared" ref="C452:C502" si="28">0.2*B451+0.8*C451</f>
        <v>3788.7457144825785</v>
      </c>
      <c r="D452" s="23">
        <f t="shared" ref="D452:D515" si="29">B452-C452</f>
        <v>380.25428551742152</v>
      </c>
      <c r="E452" s="23">
        <f>PERCENTILE(D$4:D452,0.8)</f>
        <v>323.46732825819157</v>
      </c>
      <c r="F452" s="23">
        <f t="shared" si="26"/>
        <v>4112.2130427407701</v>
      </c>
      <c r="G452" s="26">
        <f t="shared" si="27"/>
        <v>13159.081736770464</v>
      </c>
    </row>
    <row r="453" spans="1:7" ht="15" customHeight="1" x14ac:dyDescent="0.3">
      <c r="A453" s="17">
        <v>451</v>
      </c>
      <c r="B453" s="17">
        <v>3560</v>
      </c>
      <c r="C453" s="30">
        <f t="shared" si="28"/>
        <v>3864.7965715860632</v>
      </c>
      <c r="D453" s="30">
        <f t="shared" si="29"/>
        <v>-304.79657158606324</v>
      </c>
      <c r="E453" s="30">
        <f>PERCENTILE(D$4:D453,0.8)</f>
        <v>323.27090952966796</v>
      </c>
      <c r="F453" s="30">
        <f t="shared" ref="F453:F516" si="30">C453+E453</f>
        <v>4188.0674811157314</v>
      </c>
      <c r="G453" s="32">
        <f t="shared" ref="G453:G516" si="31">4*MIN(F453,B453)-0.8*F453</f>
        <v>10889.546015107415</v>
      </c>
    </row>
    <row r="454" spans="1:7" ht="15" customHeight="1" x14ac:dyDescent="0.3">
      <c r="A454" s="17">
        <v>452</v>
      </c>
      <c r="B454" s="17">
        <v>3522</v>
      </c>
      <c r="C454" s="23">
        <f t="shared" si="28"/>
        <v>3803.8372572688509</v>
      </c>
      <c r="D454" s="23">
        <f t="shared" si="29"/>
        <v>-281.83725726885086</v>
      </c>
      <c r="E454" s="23">
        <f>PERCENTILE(D$4:D454,0.8)</f>
        <v>323.07449080114429</v>
      </c>
      <c r="F454" s="23">
        <f t="shared" si="30"/>
        <v>4126.9117480699952</v>
      </c>
      <c r="G454" s="26">
        <f t="shared" si="31"/>
        <v>10786.470601544004</v>
      </c>
    </row>
    <row r="455" spans="1:7" ht="15" customHeight="1" x14ac:dyDescent="0.3">
      <c r="A455" s="17">
        <v>453</v>
      </c>
      <c r="B455" s="17">
        <v>3765</v>
      </c>
      <c r="C455" s="30">
        <f t="shared" si="28"/>
        <v>3747.4698058150811</v>
      </c>
      <c r="D455" s="30">
        <f t="shared" si="29"/>
        <v>17.530194184918855</v>
      </c>
      <c r="E455" s="30">
        <f>PERCENTILE(D$4:D455,0.8)</f>
        <v>322.73287101627307</v>
      </c>
      <c r="F455" s="30">
        <f t="shared" si="30"/>
        <v>4070.2026768313544</v>
      </c>
      <c r="G455" s="32">
        <f t="shared" si="31"/>
        <v>11803.837858534916</v>
      </c>
    </row>
    <row r="456" spans="1:7" ht="15" customHeight="1" x14ac:dyDescent="0.3">
      <c r="A456" s="17">
        <v>454</v>
      </c>
      <c r="B456" s="17">
        <v>4043</v>
      </c>
      <c r="C456" s="23">
        <f t="shared" si="28"/>
        <v>3750.975844652065</v>
      </c>
      <c r="D456" s="23">
        <f t="shared" si="29"/>
        <v>292.02415534793499</v>
      </c>
      <c r="E456" s="23">
        <f>PERCENTILE(D$4:D456,0.8)</f>
        <v>322.39125123140178</v>
      </c>
      <c r="F456" s="23">
        <f t="shared" si="30"/>
        <v>4073.3670958834668</v>
      </c>
      <c r="G456" s="26">
        <f t="shared" si="31"/>
        <v>12913.306323293225</v>
      </c>
    </row>
    <row r="457" spans="1:7" ht="15" customHeight="1" x14ac:dyDescent="0.3">
      <c r="A457" s="17">
        <v>455</v>
      </c>
      <c r="B457" s="17">
        <v>3747</v>
      </c>
      <c r="C457" s="30">
        <f t="shared" si="28"/>
        <v>3809.3806757216521</v>
      </c>
      <c r="D457" s="30">
        <f t="shared" si="29"/>
        <v>-62.380675721652096</v>
      </c>
      <c r="E457" s="30">
        <f>PERCENTILE(D$4:D457,0.8)</f>
        <v>322.04963144653055</v>
      </c>
      <c r="F457" s="30">
        <f t="shared" si="30"/>
        <v>4131.4303071681825</v>
      </c>
      <c r="G457" s="32">
        <f t="shared" si="31"/>
        <v>11682.855754265454</v>
      </c>
    </row>
    <row r="458" spans="1:7" ht="15" customHeight="1" x14ac:dyDescent="0.3">
      <c r="A458" s="17">
        <v>456</v>
      </c>
      <c r="B458" s="17">
        <v>4042</v>
      </c>
      <c r="C458" s="23">
        <f t="shared" si="28"/>
        <v>3796.9045405773218</v>
      </c>
      <c r="D458" s="23">
        <f t="shared" si="29"/>
        <v>245.09545942267823</v>
      </c>
      <c r="E458" s="23">
        <f>PERCENTILE(D$4:D458,0.8)</f>
        <v>321.70801166165927</v>
      </c>
      <c r="F458" s="23">
        <f t="shared" si="30"/>
        <v>4118.6125522389812</v>
      </c>
      <c r="G458" s="26">
        <f t="shared" si="31"/>
        <v>12873.109958208815</v>
      </c>
    </row>
    <row r="459" spans="1:7" ht="15" customHeight="1" x14ac:dyDescent="0.3">
      <c r="A459" s="17">
        <v>457</v>
      </c>
      <c r="B459" s="17">
        <v>3941</v>
      </c>
      <c r="C459" s="30">
        <f t="shared" si="28"/>
        <v>3845.9236324618578</v>
      </c>
      <c r="D459" s="30">
        <f t="shared" si="29"/>
        <v>95.076367538142222</v>
      </c>
      <c r="E459" s="30">
        <f>PERCENTILE(D$4:D459,0.8)</f>
        <v>321.36639187678793</v>
      </c>
      <c r="F459" s="30">
        <f t="shared" si="30"/>
        <v>4167.2900243386457</v>
      </c>
      <c r="G459" s="32">
        <f t="shared" si="31"/>
        <v>12430.167980529084</v>
      </c>
    </row>
    <row r="460" spans="1:7" ht="15" customHeight="1" x14ac:dyDescent="0.3">
      <c r="A460" s="17">
        <v>458</v>
      </c>
      <c r="B460" s="17">
        <v>3974</v>
      </c>
      <c r="C460" s="23">
        <f t="shared" si="28"/>
        <v>3864.9389059694868</v>
      </c>
      <c r="D460" s="23">
        <f t="shared" si="29"/>
        <v>109.06109403051323</v>
      </c>
      <c r="E460" s="23">
        <f>PERCENTILE(D$4:D460,0.8)</f>
        <v>321.31967031724463</v>
      </c>
      <c r="F460" s="23">
        <f t="shared" si="30"/>
        <v>4186.2585762867311</v>
      </c>
      <c r="G460" s="26">
        <f t="shared" si="31"/>
        <v>12546.993138970614</v>
      </c>
    </row>
    <row r="461" spans="1:7" ht="15" customHeight="1" x14ac:dyDescent="0.3">
      <c r="A461" s="17">
        <v>459</v>
      </c>
      <c r="B461" s="17">
        <v>4089</v>
      </c>
      <c r="C461" s="30">
        <f t="shared" si="28"/>
        <v>3886.7511247755897</v>
      </c>
      <c r="D461" s="30">
        <f t="shared" si="29"/>
        <v>202.24887522441031</v>
      </c>
      <c r="E461" s="30">
        <f>PERCENTILE(D$4:D461,0.8)</f>
        <v>321.27294875770133</v>
      </c>
      <c r="F461" s="30">
        <f t="shared" si="30"/>
        <v>4208.0240735332909</v>
      </c>
      <c r="G461" s="32">
        <f t="shared" si="31"/>
        <v>12989.580741173368</v>
      </c>
    </row>
    <row r="462" spans="1:7" ht="15" customHeight="1" x14ac:dyDescent="0.3">
      <c r="A462" s="17">
        <v>460</v>
      </c>
      <c r="B462" s="17">
        <v>3831</v>
      </c>
      <c r="C462" s="23">
        <f t="shared" si="28"/>
        <v>3927.2008998204719</v>
      </c>
      <c r="D462" s="23">
        <f t="shared" si="29"/>
        <v>-96.200899820471932</v>
      </c>
      <c r="E462" s="23">
        <f>PERCENTILE(D$4:D462,0.8)</f>
        <v>321.22622719815803</v>
      </c>
      <c r="F462" s="23">
        <f t="shared" si="30"/>
        <v>4248.42712701863</v>
      </c>
      <c r="G462" s="26">
        <f t="shared" si="31"/>
        <v>11925.258298385095</v>
      </c>
    </row>
    <row r="463" spans="1:7" ht="15" customHeight="1" x14ac:dyDescent="0.3">
      <c r="A463" s="17">
        <v>461</v>
      </c>
      <c r="B463" s="17">
        <v>4083</v>
      </c>
      <c r="C463" s="30">
        <f t="shared" si="28"/>
        <v>3907.9607198563781</v>
      </c>
      <c r="D463" s="30">
        <f t="shared" si="29"/>
        <v>175.03928014362191</v>
      </c>
      <c r="E463" s="30">
        <f>PERCENTILE(D$4:D463,0.8)</f>
        <v>321.17950563861467</v>
      </c>
      <c r="F463" s="30">
        <f t="shared" si="30"/>
        <v>4229.1402254949926</v>
      </c>
      <c r="G463" s="32">
        <f t="shared" si="31"/>
        <v>12948.687819604005</v>
      </c>
    </row>
    <row r="464" spans="1:7" ht="15" customHeight="1" x14ac:dyDescent="0.3">
      <c r="A464" s="17">
        <v>462</v>
      </c>
      <c r="B464" s="17">
        <v>3965</v>
      </c>
      <c r="C464" s="23">
        <f t="shared" si="28"/>
        <v>3942.9685758851024</v>
      </c>
      <c r="D464" s="23">
        <f t="shared" si="29"/>
        <v>22.031424114897618</v>
      </c>
      <c r="E464" s="23">
        <f>PERCENTILE(D$4:D464,0.8)</f>
        <v>321.13278407907137</v>
      </c>
      <c r="F464" s="23">
        <f t="shared" si="30"/>
        <v>4264.1013599641738</v>
      </c>
      <c r="G464" s="26">
        <f t="shared" si="31"/>
        <v>12448.71891202866</v>
      </c>
    </row>
    <row r="465" spans="1:7" ht="15" customHeight="1" x14ac:dyDescent="0.3">
      <c r="A465" s="17">
        <v>463</v>
      </c>
      <c r="B465" s="17">
        <v>4325</v>
      </c>
      <c r="C465" s="30">
        <f t="shared" si="28"/>
        <v>3947.374860708082</v>
      </c>
      <c r="D465" s="30">
        <f t="shared" si="29"/>
        <v>377.625139291918</v>
      </c>
      <c r="E465" s="30">
        <f>PERCENTILE(D$4:D465,0.8)</f>
        <v>321.31967031724463</v>
      </c>
      <c r="F465" s="30">
        <f t="shared" si="30"/>
        <v>4268.6945310253268</v>
      </c>
      <c r="G465" s="32">
        <f t="shared" si="31"/>
        <v>13659.822499281046</v>
      </c>
    </row>
    <row r="466" spans="1:7" ht="15" customHeight="1" x14ac:dyDescent="0.3">
      <c r="A466" s="17">
        <v>464</v>
      </c>
      <c r="B466" s="17">
        <v>3631</v>
      </c>
      <c r="C466" s="23">
        <f t="shared" si="28"/>
        <v>4022.899888566466</v>
      </c>
      <c r="D466" s="23">
        <f t="shared" si="29"/>
        <v>-391.89988856646596</v>
      </c>
      <c r="E466" s="23">
        <f>PERCENTILE(D$4:D466,0.8)</f>
        <v>321.27294875770133</v>
      </c>
      <c r="F466" s="23">
        <f t="shared" si="30"/>
        <v>4344.1728373241676</v>
      </c>
      <c r="G466" s="26">
        <f t="shared" si="31"/>
        <v>11048.661730140666</v>
      </c>
    </row>
    <row r="467" spans="1:7" ht="15" customHeight="1" x14ac:dyDescent="0.3">
      <c r="A467" s="17">
        <v>465</v>
      </c>
      <c r="B467" s="17">
        <v>3903</v>
      </c>
      <c r="C467" s="30">
        <f t="shared" si="28"/>
        <v>3944.5199108531733</v>
      </c>
      <c r="D467" s="30">
        <f t="shared" si="29"/>
        <v>-41.519910853173315</v>
      </c>
      <c r="E467" s="30">
        <f>PERCENTILE(D$4:D467,0.8)</f>
        <v>321.22622719815803</v>
      </c>
      <c r="F467" s="30">
        <f t="shared" si="30"/>
        <v>4265.7461380513314</v>
      </c>
      <c r="G467" s="32">
        <f t="shared" si="31"/>
        <v>12199.403089558935</v>
      </c>
    </row>
    <row r="468" spans="1:7" ht="15" customHeight="1" x14ac:dyDescent="0.3">
      <c r="A468" s="17">
        <v>466</v>
      </c>
      <c r="B468" s="17">
        <v>3623</v>
      </c>
      <c r="C468" s="23">
        <f t="shared" si="28"/>
        <v>3936.2159286825386</v>
      </c>
      <c r="D468" s="23">
        <f t="shared" si="29"/>
        <v>-313.21592868253856</v>
      </c>
      <c r="E468" s="23">
        <f>PERCENTILE(D$4:D468,0.8)</f>
        <v>321.17950563861467</v>
      </c>
      <c r="F468" s="23">
        <f t="shared" si="30"/>
        <v>4257.3954343211535</v>
      </c>
      <c r="G468" s="26">
        <f t="shared" si="31"/>
        <v>11086.083652543077</v>
      </c>
    </row>
    <row r="469" spans="1:7" ht="15" customHeight="1" x14ac:dyDescent="0.3">
      <c r="A469" s="17">
        <v>467</v>
      </c>
      <c r="B469" s="17">
        <v>4002</v>
      </c>
      <c r="C469" s="30">
        <f t="shared" si="28"/>
        <v>3873.5727429460308</v>
      </c>
      <c r="D469" s="30">
        <f t="shared" si="29"/>
        <v>128.42725705396924</v>
      </c>
      <c r="E469" s="30">
        <f>PERCENTILE(D$4:D469,0.8)</f>
        <v>321.13278407907137</v>
      </c>
      <c r="F469" s="30">
        <f t="shared" si="30"/>
        <v>4194.7055270251021</v>
      </c>
      <c r="G469" s="32">
        <f t="shared" si="31"/>
        <v>12652.235578379918</v>
      </c>
    </row>
    <row r="470" spans="1:7" ht="15" customHeight="1" x14ac:dyDescent="0.3">
      <c r="A470" s="17">
        <v>468</v>
      </c>
      <c r="B470" s="17">
        <v>4350</v>
      </c>
      <c r="C470" s="23">
        <f t="shared" si="28"/>
        <v>3899.2581943568248</v>
      </c>
      <c r="D470" s="23">
        <f t="shared" si="29"/>
        <v>450.74180564317521</v>
      </c>
      <c r="E470" s="23">
        <f>PERCENTILE(D$4:D470,0.8)</f>
        <v>321.31967031724463</v>
      </c>
      <c r="F470" s="23">
        <f t="shared" si="30"/>
        <v>4220.5778646740691</v>
      </c>
      <c r="G470" s="26">
        <f t="shared" si="31"/>
        <v>13505.849166957021</v>
      </c>
    </row>
    <row r="471" spans="1:7" ht="15" customHeight="1" x14ac:dyDescent="0.3">
      <c r="A471" s="17">
        <v>469</v>
      </c>
      <c r="B471" s="17">
        <v>4309</v>
      </c>
      <c r="C471" s="30">
        <f t="shared" si="28"/>
        <v>3989.4065554854601</v>
      </c>
      <c r="D471" s="30">
        <f t="shared" si="29"/>
        <v>319.5934445145399</v>
      </c>
      <c r="E471" s="30">
        <f>PERCENTILE(D$4:D471,0.8)</f>
        <v>321.27294875770133</v>
      </c>
      <c r="F471" s="30">
        <f t="shared" si="30"/>
        <v>4310.6795042431613</v>
      </c>
      <c r="G471" s="32">
        <f t="shared" si="31"/>
        <v>13787.45639660547</v>
      </c>
    </row>
    <row r="472" spans="1:7" ht="15" customHeight="1" x14ac:dyDescent="0.3">
      <c r="A472" s="17">
        <v>470</v>
      </c>
      <c r="B472" s="17">
        <v>4111</v>
      </c>
      <c r="C472" s="23">
        <f t="shared" si="28"/>
        <v>4053.3252443883684</v>
      </c>
      <c r="D472" s="23">
        <f t="shared" si="29"/>
        <v>57.674755611631554</v>
      </c>
      <c r="E472" s="23">
        <f>PERCENTILE(D$4:D472,0.8)</f>
        <v>321.22622719815803</v>
      </c>
      <c r="F472" s="23">
        <f t="shared" si="30"/>
        <v>4374.5514715865265</v>
      </c>
      <c r="G472" s="26">
        <f t="shared" si="31"/>
        <v>12944.358822730779</v>
      </c>
    </row>
    <row r="473" spans="1:7" ht="15" customHeight="1" x14ac:dyDescent="0.3">
      <c r="A473" s="17">
        <v>471</v>
      </c>
      <c r="B473" s="17">
        <v>4115</v>
      </c>
      <c r="C473" s="30">
        <f t="shared" si="28"/>
        <v>4064.8601955106951</v>
      </c>
      <c r="D473" s="30">
        <f t="shared" si="29"/>
        <v>50.139804489304879</v>
      </c>
      <c r="E473" s="30">
        <f>PERCENTILE(D$4:D473,0.8)</f>
        <v>321.17950563861467</v>
      </c>
      <c r="F473" s="30">
        <f t="shared" si="30"/>
        <v>4386.0397011493096</v>
      </c>
      <c r="G473" s="32">
        <f t="shared" si="31"/>
        <v>12951.168239080553</v>
      </c>
    </row>
    <row r="474" spans="1:7" ht="15" customHeight="1" x14ac:dyDescent="0.3">
      <c r="A474" s="17">
        <v>472</v>
      </c>
      <c r="B474" s="17">
        <v>3415</v>
      </c>
      <c r="C474" s="23">
        <f t="shared" si="28"/>
        <v>4074.8881564085564</v>
      </c>
      <c r="D474" s="23">
        <f t="shared" si="29"/>
        <v>-659.88815640855637</v>
      </c>
      <c r="E474" s="23">
        <f>PERCENTILE(D$4:D474,0.8)</f>
        <v>321.13278407907137</v>
      </c>
      <c r="F474" s="23">
        <f t="shared" si="30"/>
        <v>4396.0209404876277</v>
      </c>
      <c r="G474" s="26">
        <f t="shared" si="31"/>
        <v>10143.183247609897</v>
      </c>
    </row>
    <row r="475" spans="1:7" ht="15" customHeight="1" x14ac:dyDescent="0.3">
      <c r="A475" s="17">
        <v>473</v>
      </c>
      <c r="B475" s="17">
        <v>3929</v>
      </c>
      <c r="C475" s="30">
        <f t="shared" si="28"/>
        <v>3942.9105251268452</v>
      </c>
      <c r="D475" s="30">
        <f t="shared" si="29"/>
        <v>-13.910525126845187</v>
      </c>
      <c r="E475" s="30">
        <f>PERCENTILE(D$4:D475,0.8)</f>
        <v>320.82491616616511</v>
      </c>
      <c r="F475" s="30">
        <f t="shared" si="30"/>
        <v>4263.7354412930099</v>
      </c>
      <c r="G475" s="32">
        <f t="shared" si="31"/>
        <v>12305.011646965591</v>
      </c>
    </row>
    <row r="476" spans="1:7" ht="15" customHeight="1" x14ac:dyDescent="0.3">
      <c r="A476" s="17">
        <v>474</v>
      </c>
      <c r="B476" s="17">
        <v>4372</v>
      </c>
      <c r="C476" s="23">
        <f t="shared" si="28"/>
        <v>3940.1284201014764</v>
      </c>
      <c r="D476" s="23">
        <f t="shared" si="29"/>
        <v>431.87157989852358</v>
      </c>
      <c r="E476" s="23">
        <f>PERCENTILE(D$4:D476,0.8)</f>
        <v>321.27294875770133</v>
      </c>
      <c r="F476" s="23">
        <f t="shared" si="30"/>
        <v>4261.4013688591776</v>
      </c>
      <c r="G476" s="26">
        <f t="shared" si="31"/>
        <v>13636.484380349368</v>
      </c>
    </row>
    <row r="477" spans="1:7" ht="15" customHeight="1" x14ac:dyDescent="0.3">
      <c r="A477" s="17">
        <v>475</v>
      </c>
      <c r="B477" s="17">
        <v>4087</v>
      </c>
      <c r="C477" s="30">
        <f t="shared" si="28"/>
        <v>4026.5027360811814</v>
      </c>
      <c r="D477" s="30">
        <f t="shared" si="29"/>
        <v>60.497263918818589</v>
      </c>
      <c r="E477" s="30">
        <f>PERCENTILE(D$4:D477,0.8)</f>
        <v>321.22622719815803</v>
      </c>
      <c r="F477" s="30">
        <f t="shared" si="30"/>
        <v>4347.728963279339</v>
      </c>
      <c r="G477" s="32">
        <f t="shared" si="31"/>
        <v>12869.816829376528</v>
      </c>
    </row>
    <row r="478" spans="1:7" ht="15" customHeight="1" x14ac:dyDescent="0.3">
      <c r="A478" s="17">
        <v>476</v>
      </c>
      <c r="B478" s="17">
        <v>4164</v>
      </c>
      <c r="C478" s="23">
        <f t="shared" si="28"/>
        <v>4038.6021888649452</v>
      </c>
      <c r="D478" s="23">
        <f t="shared" si="29"/>
        <v>125.39781113505478</v>
      </c>
      <c r="E478" s="23">
        <f>PERCENTILE(D$4:D478,0.8)</f>
        <v>321.17950563861467</v>
      </c>
      <c r="F478" s="23">
        <f t="shared" si="30"/>
        <v>4359.7816945035602</v>
      </c>
      <c r="G478" s="26">
        <f t="shared" si="31"/>
        <v>13168.174644397151</v>
      </c>
    </row>
    <row r="479" spans="1:7" ht="15" customHeight="1" x14ac:dyDescent="0.3">
      <c r="A479" s="17">
        <v>477</v>
      </c>
      <c r="B479" s="17">
        <v>4256</v>
      </c>
      <c r="C479" s="30">
        <f t="shared" si="28"/>
        <v>4063.6817510919564</v>
      </c>
      <c r="D479" s="30">
        <f t="shared" si="29"/>
        <v>192.31824890804364</v>
      </c>
      <c r="E479" s="30">
        <f>PERCENTILE(D$4:D479,0.8)</f>
        <v>321.13278407907137</v>
      </c>
      <c r="F479" s="30">
        <f t="shared" si="30"/>
        <v>4384.8145351710282</v>
      </c>
      <c r="G479" s="32">
        <f t="shared" si="31"/>
        <v>13516.148371863177</v>
      </c>
    </row>
    <row r="480" spans="1:7" ht="15" customHeight="1" x14ac:dyDescent="0.3">
      <c r="A480" s="17">
        <v>478</v>
      </c>
      <c r="B480" s="17">
        <v>3819</v>
      </c>
      <c r="C480" s="23">
        <f t="shared" si="28"/>
        <v>4102.1454008735654</v>
      </c>
      <c r="D480" s="23">
        <f t="shared" si="29"/>
        <v>-283.14540087356545</v>
      </c>
      <c r="E480" s="23">
        <f>PERCENTILE(D$4:D480,0.8)</f>
        <v>320.82491616616511</v>
      </c>
      <c r="F480" s="23">
        <f t="shared" si="30"/>
        <v>4422.9703170397306</v>
      </c>
      <c r="G480" s="26">
        <f t="shared" si="31"/>
        <v>11737.623746368216</v>
      </c>
    </row>
    <row r="481" spans="1:7" ht="15" customHeight="1" x14ac:dyDescent="0.3">
      <c r="A481" s="17">
        <v>479</v>
      </c>
      <c r="B481" s="17">
        <v>4336</v>
      </c>
      <c r="C481" s="30">
        <f t="shared" si="28"/>
        <v>4045.5163206988527</v>
      </c>
      <c r="D481" s="30">
        <f t="shared" si="29"/>
        <v>290.48367930114728</v>
      </c>
      <c r="E481" s="30">
        <f>PERCENTILE(D$4:D481,0.8)</f>
        <v>320.51704825325879</v>
      </c>
      <c r="F481" s="30">
        <f t="shared" si="30"/>
        <v>4366.0333689521112</v>
      </c>
      <c r="G481" s="32">
        <f t="shared" si="31"/>
        <v>13851.17330483831</v>
      </c>
    </row>
    <row r="482" spans="1:7" ht="15" customHeight="1" x14ac:dyDescent="0.3">
      <c r="A482" s="17">
        <v>480</v>
      </c>
      <c r="B482" s="17">
        <v>4263</v>
      </c>
      <c r="C482" s="23">
        <f t="shared" si="28"/>
        <v>4103.613056559082</v>
      </c>
      <c r="D482" s="23">
        <f t="shared" si="29"/>
        <v>159.386943440918</v>
      </c>
      <c r="E482" s="23">
        <f>PERCENTILE(D$4:D482,0.8)</f>
        <v>320.20918034035253</v>
      </c>
      <c r="F482" s="23">
        <f t="shared" si="30"/>
        <v>4423.8222368994348</v>
      </c>
      <c r="G482" s="26">
        <f t="shared" si="31"/>
        <v>13512.942210480453</v>
      </c>
    </row>
    <row r="483" spans="1:7" ht="15" customHeight="1" x14ac:dyDescent="0.3">
      <c r="A483" s="17">
        <v>481</v>
      </c>
      <c r="B483" s="17">
        <v>4410</v>
      </c>
      <c r="C483" s="30">
        <f t="shared" si="28"/>
        <v>4135.4904452472656</v>
      </c>
      <c r="D483" s="30">
        <f t="shared" si="29"/>
        <v>274.5095547527344</v>
      </c>
      <c r="E483" s="30">
        <f>PERCENTILE(D$4:D483,0.8)</f>
        <v>319.90131242744627</v>
      </c>
      <c r="F483" s="30">
        <f t="shared" si="30"/>
        <v>4455.3917576747117</v>
      </c>
      <c r="G483" s="32">
        <f t="shared" si="31"/>
        <v>14075.686593860231</v>
      </c>
    </row>
    <row r="484" spans="1:7" ht="15" customHeight="1" x14ac:dyDescent="0.3">
      <c r="A484" s="17">
        <v>482</v>
      </c>
      <c r="B484" s="17">
        <v>4098</v>
      </c>
      <c r="C484" s="23">
        <f t="shared" si="28"/>
        <v>4190.3923561978127</v>
      </c>
      <c r="D484" s="23">
        <f t="shared" si="29"/>
        <v>-92.39235619781266</v>
      </c>
      <c r="E484" s="23">
        <f>PERCENTILE(D$4:D484,0.8)</f>
        <v>319.5934445145399</v>
      </c>
      <c r="F484" s="23">
        <f t="shared" si="30"/>
        <v>4509.985800712353</v>
      </c>
      <c r="G484" s="26">
        <f t="shared" si="31"/>
        <v>12784.011359430118</v>
      </c>
    </row>
    <row r="485" spans="1:7" ht="15" customHeight="1" x14ac:dyDescent="0.3">
      <c r="A485" s="17">
        <v>483</v>
      </c>
      <c r="B485" s="17">
        <v>3671</v>
      </c>
      <c r="C485" s="30">
        <f t="shared" si="28"/>
        <v>4171.9138849582505</v>
      </c>
      <c r="D485" s="30">
        <f t="shared" si="29"/>
        <v>-500.91388495825049</v>
      </c>
      <c r="E485" s="30">
        <f>PERCENTILE(D$4:D485,0.8)</f>
        <v>319.56674675594269</v>
      </c>
      <c r="F485" s="30">
        <f t="shared" si="30"/>
        <v>4491.4806317141929</v>
      </c>
      <c r="G485" s="32">
        <f t="shared" si="31"/>
        <v>11090.815494628645</v>
      </c>
    </row>
    <row r="486" spans="1:7" ht="15" customHeight="1" x14ac:dyDescent="0.3">
      <c r="A486" s="17">
        <v>484</v>
      </c>
      <c r="B486" s="17">
        <v>3718</v>
      </c>
      <c r="C486" s="23">
        <f t="shared" si="28"/>
        <v>4071.7311079666006</v>
      </c>
      <c r="D486" s="23">
        <f t="shared" si="29"/>
        <v>-353.73110796660058</v>
      </c>
      <c r="E486" s="23">
        <f>PERCENTILE(D$4:D486,0.8)</f>
        <v>319.54004899734548</v>
      </c>
      <c r="F486" s="23">
        <f t="shared" si="30"/>
        <v>4391.2711569639459</v>
      </c>
      <c r="G486" s="26">
        <f t="shared" si="31"/>
        <v>11358.983074428843</v>
      </c>
    </row>
    <row r="487" spans="1:7" ht="15" customHeight="1" x14ac:dyDescent="0.3">
      <c r="A487" s="17">
        <v>485</v>
      </c>
      <c r="B487" s="17">
        <v>4281</v>
      </c>
      <c r="C487" s="30">
        <f t="shared" si="28"/>
        <v>4000.9848863732805</v>
      </c>
      <c r="D487" s="30">
        <f t="shared" si="29"/>
        <v>280.01511362671954</v>
      </c>
      <c r="E487" s="30">
        <f>PERCENTILE(D$4:D487,0.8)</f>
        <v>319.51335123874821</v>
      </c>
      <c r="F487" s="30">
        <f t="shared" si="30"/>
        <v>4320.4982376120288</v>
      </c>
      <c r="G487" s="32">
        <f t="shared" si="31"/>
        <v>13667.601409910378</v>
      </c>
    </row>
    <row r="488" spans="1:7" ht="15" customHeight="1" x14ac:dyDescent="0.3">
      <c r="A488" s="17">
        <v>486</v>
      </c>
      <c r="B488" s="17">
        <v>3849</v>
      </c>
      <c r="C488" s="23">
        <f t="shared" si="28"/>
        <v>4056.9879090986242</v>
      </c>
      <c r="D488" s="23">
        <f t="shared" si="29"/>
        <v>-207.98790909862419</v>
      </c>
      <c r="E488" s="23">
        <f>PERCENTILE(D$4:D488,0.8)</f>
        <v>319.48665348015101</v>
      </c>
      <c r="F488" s="23">
        <f t="shared" si="30"/>
        <v>4376.4745625787755</v>
      </c>
      <c r="G488" s="26">
        <f t="shared" si="31"/>
        <v>11894.820349936979</v>
      </c>
    </row>
    <row r="489" spans="1:7" ht="15" customHeight="1" x14ac:dyDescent="0.3">
      <c r="A489" s="17">
        <v>487</v>
      </c>
      <c r="B489" s="17">
        <v>4187</v>
      </c>
      <c r="C489" s="30">
        <f t="shared" si="28"/>
        <v>4015.3903272788998</v>
      </c>
      <c r="D489" s="30">
        <f t="shared" si="29"/>
        <v>171.6096727211002</v>
      </c>
      <c r="E489" s="30">
        <f>PERCENTILE(D$4:D489,0.8)</f>
        <v>319.4599557215538</v>
      </c>
      <c r="F489" s="30">
        <f t="shared" si="30"/>
        <v>4334.8502830004536</v>
      </c>
      <c r="G489" s="32">
        <f t="shared" si="31"/>
        <v>13280.119773599637</v>
      </c>
    </row>
    <row r="490" spans="1:7" ht="15" customHeight="1" x14ac:dyDescent="0.3">
      <c r="A490" s="17">
        <v>488</v>
      </c>
      <c r="B490" s="17">
        <v>4367</v>
      </c>
      <c r="C490" s="23">
        <f t="shared" si="28"/>
        <v>4049.7122618231201</v>
      </c>
      <c r="D490" s="23">
        <f t="shared" si="29"/>
        <v>317.28773817687988</v>
      </c>
      <c r="E490" s="23">
        <f>PERCENTILE(D$4:D490,0.8)</f>
        <v>319.02551221261905</v>
      </c>
      <c r="F490" s="23">
        <f t="shared" si="30"/>
        <v>4368.7377740357388</v>
      </c>
      <c r="G490" s="26">
        <f t="shared" si="31"/>
        <v>13973.009780771408</v>
      </c>
    </row>
    <row r="491" spans="1:7" ht="15" customHeight="1" x14ac:dyDescent="0.3">
      <c r="A491" s="17">
        <v>489</v>
      </c>
      <c r="B491" s="17">
        <v>4005</v>
      </c>
      <c r="C491" s="30">
        <f t="shared" si="28"/>
        <v>4113.1698094584963</v>
      </c>
      <c r="D491" s="30">
        <f t="shared" si="29"/>
        <v>-108.16980945849627</v>
      </c>
      <c r="E491" s="30">
        <f>PERCENTILE(D$4:D491,0.8)</f>
        <v>318.5910687036843</v>
      </c>
      <c r="F491" s="30">
        <f t="shared" si="30"/>
        <v>4431.7608781621802</v>
      </c>
      <c r="G491" s="32">
        <f t="shared" si="31"/>
        <v>12474.591297470255</v>
      </c>
    </row>
    <row r="492" spans="1:7" ht="15" customHeight="1" x14ac:dyDescent="0.3">
      <c r="A492" s="17">
        <v>490</v>
      </c>
      <c r="B492" s="17">
        <v>3817</v>
      </c>
      <c r="C492" s="23">
        <f t="shared" si="28"/>
        <v>4091.5358475667972</v>
      </c>
      <c r="D492" s="23">
        <f t="shared" si="29"/>
        <v>-274.5358475667972</v>
      </c>
      <c r="E492" s="23">
        <f>PERCENTILE(D$4:D492,0.8)</f>
        <v>318.15662519474955</v>
      </c>
      <c r="F492" s="23">
        <f t="shared" si="30"/>
        <v>4409.6924727615469</v>
      </c>
      <c r="G492" s="26">
        <f t="shared" si="31"/>
        <v>11740.246021790763</v>
      </c>
    </row>
    <row r="493" spans="1:7" ht="15" customHeight="1" x14ac:dyDescent="0.3">
      <c r="A493" s="17">
        <v>491</v>
      </c>
      <c r="B493" s="17">
        <v>4370</v>
      </c>
      <c r="C493" s="30">
        <f t="shared" si="28"/>
        <v>4036.6286780534379</v>
      </c>
      <c r="D493" s="30">
        <f t="shared" si="29"/>
        <v>333.37132194656215</v>
      </c>
      <c r="E493" s="30">
        <f>PERCENTILE(D$4:D493,0.8)</f>
        <v>319.48665348015101</v>
      </c>
      <c r="F493" s="30">
        <f t="shared" si="30"/>
        <v>4356.1153315335887</v>
      </c>
      <c r="G493" s="32">
        <f t="shared" si="31"/>
        <v>13939.569060907485</v>
      </c>
    </row>
    <row r="494" spans="1:7" ht="15" customHeight="1" x14ac:dyDescent="0.3">
      <c r="A494" s="17">
        <v>492</v>
      </c>
      <c r="B494" s="17">
        <v>3560</v>
      </c>
      <c r="C494" s="23">
        <f t="shared" si="28"/>
        <v>4103.3029424427505</v>
      </c>
      <c r="D494" s="23">
        <f t="shared" si="29"/>
        <v>-543.30294244275046</v>
      </c>
      <c r="E494" s="23">
        <f>PERCENTILE(D$4:D494,0.8)</f>
        <v>319.4599557215538</v>
      </c>
      <c r="F494" s="23">
        <f t="shared" si="30"/>
        <v>4422.7628981643047</v>
      </c>
      <c r="G494" s="26">
        <f t="shared" si="31"/>
        <v>10701.789681468556</v>
      </c>
    </row>
    <row r="495" spans="1:7" ht="15" customHeight="1" x14ac:dyDescent="0.3">
      <c r="A495" s="17">
        <v>493</v>
      </c>
      <c r="B495" s="17">
        <v>4185</v>
      </c>
      <c r="C495" s="30">
        <f t="shared" si="28"/>
        <v>3994.6423539542006</v>
      </c>
      <c r="D495" s="30">
        <f t="shared" si="29"/>
        <v>190.35764604579936</v>
      </c>
      <c r="E495" s="30">
        <f>PERCENTILE(D$4:D495,0.8)</f>
        <v>319.02551221261905</v>
      </c>
      <c r="F495" s="30">
        <f t="shared" si="30"/>
        <v>4313.6678661668193</v>
      </c>
      <c r="G495" s="32">
        <f t="shared" si="31"/>
        <v>13289.065707066544</v>
      </c>
    </row>
    <row r="496" spans="1:7" ht="15" customHeight="1" x14ac:dyDescent="0.3">
      <c r="A496" s="17">
        <v>494</v>
      </c>
      <c r="B496" s="17">
        <v>3929</v>
      </c>
      <c r="C496" s="23">
        <f t="shared" si="28"/>
        <v>4032.7138831633606</v>
      </c>
      <c r="D496" s="23">
        <f t="shared" si="29"/>
        <v>-103.71388316336061</v>
      </c>
      <c r="E496" s="23">
        <f>PERCENTILE(D$4:D496,0.8)</f>
        <v>318.5910687036843</v>
      </c>
      <c r="F496" s="23">
        <f t="shared" si="30"/>
        <v>4351.304951867045</v>
      </c>
      <c r="G496" s="26">
        <f t="shared" si="31"/>
        <v>12234.956038506363</v>
      </c>
    </row>
    <row r="497" spans="1:7" ht="15" customHeight="1" x14ac:dyDescent="0.3">
      <c r="A497" s="17">
        <v>495</v>
      </c>
      <c r="B497" s="17">
        <v>4396</v>
      </c>
      <c r="C497" s="30">
        <f t="shared" si="28"/>
        <v>4011.9711065306888</v>
      </c>
      <c r="D497" s="30">
        <f t="shared" si="29"/>
        <v>384.02889346931124</v>
      </c>
      <c r="E497" s="30">
        <f>PERCENTILE(D$4:D497,0.8)</f>
        <v>319.51335123874821</v>
      </c>
      <c r="F497" s="30">
        <f t="shared" si="30"/>
        <v>4331.4844577694366</v>
      </c>
      <c r="G497" s="32">
        <f t="shared" si="31"/>
        <v>13860.750264862198</v>
      </c>
    </row>
    <row r="498" spans="1:7" ht="15" customHeight="1" x14ac:dyDescent="0.3">
      <c r="A498" s="17">
        <v>496</v>
      </c>
      <c r="B498" s="17">
        <v>4329</v>
      </c>
      <c r="C498" s="23">
        <f t="shared" si="28"/>
        <v>4088.7768852245508</v>
      </c>
      <c r="D498" s="23">
        <f t="shared" si="29"/>
        <v>240.22311477544918</v>
      </c>
      <c r="E498" s="23">
        <f>PERCENTILE(D$4:D498,0.8)</f>
        <v>319.48665348015101</v>
      </c>
      <c r="F498" s="23">
        <f t="shared" si="30"/>
        <v>4408.2635387047021</v>
      </c>
      <c r="G498" s="26">
        <f t="shared" si="31"/>
        <v>13789.389169036238</v>
      </c>
    </row>
    <row r="499" spans="1:7" ht="15" customHeight="1" x14ac:dyDescent="0.3">
      <c r="A499" s="17">
        <v>497</v>
      </c>
      <c r="B499" s="17">
        <v>4043</v>
      </c>
      <c r="C499" s="30">
        <f t="shared" si="28"/>
        <v>4136.8215081796407</v>
      </c>
      <c r="D499" s="30">
        <f t="shared" si="29"/>
        <v>-93.821508179640659</v>
      </c>
      <c r="E499" s="30">
        <f>PERCENTILE(D$4:D499,0.8)</f>
        <v>319.4599557215538</v>
      </c>
      <c r="F499" s="30">
        <f t="shared" si="30"/>
        <v>4456.281463901194</v>
      </c>
      <c r="G499" s="32">
        <f t="shared" si="31"/>
        <v>12606.974828879045</v>
      </c>
    </row>
    <row r="500" spans="1:7" ht="15" customHeight="1" x14ac:dyDescent="0.3">
      <c r="A500" s="17">
        <v>498</v>
      </c>
      <c r="B500" s="17">
        <v>3616</v>
      </c>
      <c r="C500" s="23">
        <f t="shared" si="28"/>
        <v>4118.0572065437127</v>
      </c>
      <c r="D500" s="23">
        <f t="shared" si="29"/>
        <v>-502.05720654371271</v>
      </c>
      <c r="E500" s="23">
        <f>PERCENTILE(D$4:D500,0.8)</f>
        <v>319.02551221261905</v>
      </c>
      <c r="F500" s="23">
        <f t="shared" si="30"/>
        <v>4437.0827187563318</v>
      </c>
      <c r="G500" s="26">
        <f t="shared" si="31"/>
        <v>10914.333824994934</v>
      </c>
    </row>
    <row r="501" spans="1:7" ht="15" customHeight="1" x14ac:dyDescent="0.3">
      <c r="A501" s="17">
        <v>499</v>
      </c>
      <c r="B501" s="17">
        <v>3550</v>
      </c>
      <c r="C501" s="30">
        <f t="shared" si="28"/>
        <v>4017.64576523497</v>
      </c>
      <c r="D501" s="30">
        <f t="shared" si="29"/>
        <v>-467.64576523496999</v>
      </c>
      <c r="E501" s="30">
        <f>PERCENTILE(D$4:D501,0.8)</f>
        <v>318.5910687036843</v>
      </c>
      <c r="F501" s="30">
        <f t="shared" si="30"/>
        <v>4336.2368339386539</v>
      </c>
      <c r="G501" s="32">
        <f t="shared" si="31"/>
        <v>10731.010532849077</v>
      </c>
    </row>
    <row r="502" spans="1:7" ht="15" customHeight="1" x14ac:dyDescent="0.3">
      <c r="A502" s="17">
        <v>500</v>
      </c>
      <c r="B502" s="17">
        <v>4065</v>
      </c>
      <c r="C502" s="23">
        <f t="shared" si="28"/>
        <v>3924.116612187976</v>
      </c>
      <c r="D502" s="23">
        <f t="shared" si="29"/>
        <v>140.88338781202401</v>
      </c>
      <c r="E502" s="23">
        <f>PERCENTILE(D$4:D502,0.8)</f>
        <v>318.15662519474955</v>
      </c>
      <c r="F502" s="23">
        <f t="shared" si="30"/>
        <v>4242.2732373827257</v>
      </c>
      <c r="G502" s="26">
        <f t="shared" si="31"/>
        <v>12866.181410093819</v>
      </c>
    </row>
    <row r="504" spans="1:7" ht="15" customHeight="1" x14ac:dyDescent="0.3">
      <c r="A504" s="3" t="s">
        <v>43</v>
      </c>
      <c r="B504" s="3"/>
      <c r="C504" s="3"/>
      <c r="D504" s="3"/>
      <c r="E504" s="3"/>
      <c r="F504" s="27"/>
      <c r="G504" s="33">
        <f>AVERAGE(G5:G502)</f>
        <v>9326.8026597075968</v>
      </c>
    </row>
  </sheetData>
  <mergeCells count="2">
    <mergeCell ref="A1:G1"/>
    <mergeCell ref="A504:E50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Data &amp; Models</vt:lpstr>
      <vt:lpstr>SL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Kaitlyn Straight</cp:lastModifiedBy>
  <cp:revision>0</cp:revision>
  <dcterms:created xsi:type="dcterms:W3CDTF">2026-04-14T01:04:49Z</dcterms:created>
  <dcterms:modified xsi:type="dcterms:W3CDTF">2026-04-14T01:15:25Z</dcterms:modified>
  <dc:language>en-US</dc:language>
</cp:coreProperties>
</file>